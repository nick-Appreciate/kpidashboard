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s" sheetId="1" r:id="rId5"/>
    <sheet state="visible" name="Dashboard" sheetId="2" r:id="rId6"/>
    <sheet state="visible" name="1142025" sheetId="3" r:id="rId7"/>
    <sheet state="visible" name="11102025" sheetId="4" r:id="rId8"/>
    <sheet state="visible" name="11172025" sheetId="5" r:id="rId9"/>
    <sheet state="visible" name="11242025" sheetId="6" r:id="rId10"/>
    <sheet state="visible" name="1212025" sheetId="7" r:id="rId11"/>
    <sheet state="visible" name="1282025" sheetId="8" r:id="rId12"/>
    <sheet state="visible" name="12152025" sheetId="9" r:id="rId13"/>
    <sheet state="visible" name="12222025" sheetId="10" r:id="rId14"/>
    <sheet state="visible" name="12292025" sheetId="11" r:id="rId15"/>
    <sheet state="visible" name="12302025" sheetId="12" r:id="rId16"/>
    <sheet state="visible" name="152026" sheetId="13" r:id="rId17"/>
    <sheet state="visible" name="172026" sheetId="14" r:id="rId18"/>
    <sheet state="visible" name="192026" sheetId="15" r:id="rId19"/>
    <sheet state="visible" name="1142026" sheetId="16" r:id="rId20"/>
    <sheet state="visible" name="1192026" sheetId="17" r:id="rId21"/>
    <sheet state="visible" name="1122026" sheetId="18" r:id="rId22"/>
    <sheet state="visible" name="1212026" sheetId="19" r:id="rId23"/>
    <sheet state="visible" name="1262026" sheetId="20" r:id="rId24"/>
  </sheets>
  <definedNames/>
  <calcPr/>
</workbook>
</file>

<file path=xl/sharedStrings.xml><?xml version="1.0" encoding="utf-8"?>
<sst xmlns="http://schemas.openxmlformats.org/spreadsheetml/2006/main" count="15109" uniqueCount="379">
  <si>
    <t>https://docs.google.com/spreadsheets/d/1WKfDrVcWOskZSHPhmuD6yrZ6Npr1AynOsBh7UwELvBg/edit?gid=61091455#gid=61091455</t>
  </si>
  <si>
    <t>Property</t>
  </si>
  <si>
    <t xml:space="preserve">Occupied </t>
  </si>
  <si>
    <t>Collections %</t>
  </si>
  <si>
    <t>Month Outstanding</t>
  </si>
  <si>
    <t>Total Outstanding</t>
  </si>
  <si>
    <t>Eviction Risk</t>
  </si>
  <si>
    <t>Lease Health</t>
  </si>
  <si>
    <t>Variables</t>
  </si>
  <si>
    <t>Lease-out Goal</t>
  </si>
  <si>
    <t>Weekly Property Report</t>
  </si>
  <si>
    <t>Exported On: 11/04/2025 08:36 PM</t>
  </si>
  <si>
    <t>Properties: All</t>
  </si>
  <si>
    <t>Units: Active</t>
  </si>
  <si>
    <t>GL Accounts: 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</si>
  <si>
    <t>As of: 11/04/2025</t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</si>
  <si>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</si>
  <si>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</si>
  <si>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</si>
  <si>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</si>
  <si>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</si>
  <si>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</si>
  <si>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</si>
  <si>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</si>
  <si>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</si>
  <si>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</si>
  <si>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</si>
  <si>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</si>
  <si>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</si>
  <si>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</si>
  <si>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</si>
  <si>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</si>
  <si>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</si>
  <si>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</si>
  <si>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</si>
  <si>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</si>
  <si>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</si>
  <si>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</si>
  <si>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</si>
  <si>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</si>
  <si>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</si>
  <si>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</si>
  <si>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</si>
  <si>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4 Units</t>
  </si>
  <si>
    <t>100.0% Occupied</t>
  </si>
  <si>
    <t>3909 North Oakland Gravel Road - 3909 North Oakland Gravel Road Columbia, MO 65202</t>
  </si>
  <si>
    <t>1</t>
  </si>
  <si>
    <t>Vacant-Unrented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</si>
  <si>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</si>
  <si>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</si>
  <si>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</si>
  <si>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</si>
  <si>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</si>
  <si>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</si>
  <si>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</si>
  <si>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</si>
  <si>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</si>
  <si>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5 Units</t>
  </si>
  <si>
    <t>801-803 Washington Avenue - 801-803 Washington Avenue Columbia, MO 65201</t>
  </si>
  <si>
    <t>801</t>
  </si>
  <si>
    <t>803</t>
  </si>
  <si>
    <t>2 Units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</si>
  <si>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</si>
  <si>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</si>
  <si>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</si>
  <si>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</si>
  <si>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</si>
  <si>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</si>
  <si>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</si>
  <si>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</si>
  <si>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</si>
  <si>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</si>
  <si>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</si>
  <si>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</si>
  <si>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</si>
  <si>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</si>
  <si>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</si>
  <si>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</si>
  <si>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</si>
  <si>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</si>
  <si>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</si>
  <si>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</si>
  <si>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</si>
  <si>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</si>
  <si>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</si>
  <si>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</si>
  <si>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</si>
  <si>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</si>
  <si>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</si>
  <si>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</si>
  <si>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</si>
  <si>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</si>
  <si>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</si>
  <si>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</si>
  <si>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</si>
  <si>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</si>
  <si>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</si>
  <si>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</si>
  <si>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</si>
  <si>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</si>
  <si>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</si>
  <si>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</si>
  <si>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</si>
  <si>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</si>
  <si>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</si>
  <si>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</si>
  <si>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</si>
  <si>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Notice-Unrented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</si>
  <si>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</si>
  <si>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</si>
  <si>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</si>
  <si>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</si>
  <si>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</si>
  <si>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</si>
  <si>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</si>
  <si>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</si>
  <si>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</si>
  <si>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</si>
  <si>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</si>
  <si>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</si>
  <si>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</si>
  <si>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</si>
  <si>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</si>
  <si>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</si>
  <si>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</si>
  <si>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</si>
  <si>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</si>
  <si>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</si>
  <si>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</si>
  <si>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</si>
  <si>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</si>
  <si>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</si>
  <si>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</si>
  <si>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</si>
  <si>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</si>
  <si>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</si>
  <si>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</si>
  <si>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</si>
  <si>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</si>
  <si>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</si>
  <si>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</si>
  <si>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</si>
  <si>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</si>
  <si>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</si>
  <si>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</si>
  <si>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</si>
  <si>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</si>
  <si>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</si>
  <si>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</si>
  <si>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</si>
  <si>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</si>
  <si>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</si>
  <si>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</si>
  <si>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</si>
  <si>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</si>
  <si>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</si>
  <si>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</si>
  <si>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76.5%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</si>
  <si>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</si>
  <si>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</si>
  <si>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</si>
  <si>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</si>
  <si>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</si>
  <si>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</si>
  <si>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</si>
  <si>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</si>
  <si>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</si>
  <si>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</si>
  <si>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</si>
  <si>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</si>
  <si>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</si>
  <si>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</si>
  <si>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</si>
  <si>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</si>
  <si>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</si>
  <si>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</si>
  <si>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</si>
  <si>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</si>
  <si>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Evict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</si>
  <si>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</si>
  <si>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</si>
  <si>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</si>
  <si>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</si>
  <si>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</si>
  <si>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</si>
  <si>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</si>
  <si>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</si>
  <si>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</si>
  <si>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</si>
  <si>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</si>
  <si>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</si>
  <si>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</si>
  <si>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</si>
  <si>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</si>
  <si>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</si>
  <si>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</si>
  <si>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</si>
  <si>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</si>
  <si>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</si>
  <si>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</si>
  <si>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</si>
  <si>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</si>
  <si>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87.5%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</si>
  <si>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</si>
  <si>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</si>
  <si>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</si>
  <si>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</si>
  <si>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</si>
  <si>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</si>
  <si>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</si>
  <si>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</si>
  <si>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</si>
  <si>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</si>
  <si>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</si>
  <si>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</si>
  <si>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</si>
  <si>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</si>
  <si>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</si>
  <si>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</si>
  <si>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</si>
  <si>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</si>
  <si>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</si>
  <si>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</si>
  <si>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</si>
  <si>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</si>
  <si>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</si>
  <si>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</si>
  <si>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90.9% Occupied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</si>
  <si>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</si>
  <si>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</si>
  <si>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</si>
  <si>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</si>
  <si>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</si>
  <si>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</si>
  <si>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</si>
  <si>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</si>
  <si>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</si>
  <si>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</si>
  <si>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</si>
  <si>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</si>
  <si>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</si>
  <si>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</si>
  <si>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</si>
  <si>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</si>
  <si>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</si>
  <si>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94.0% Occupied</t>
  </si>
  <si>
    <t>Pioneer Apartments - 2408 Whitegate Drive Columbia, MO 65202</t>
  </si>
  <si>
    <t>30 Units</t>
  </si>
  <si>
    <t>Total 248 Units</t>
  </si>
  <si>
    <t>88.7% Occupied</t>
  </si>
  <si>
    <t>Sarah</t>
  </si>
  <si>
    <t>Karen</t>
  </si>
  <si>
    <t>Sam</t>
  </si>
  <si>
    <t xml:space="preserve">1511 Sylvan Lane                                                                                                                                                </t>
  </si>
  <si>
    <t xml:space="preserve">3909 North Oakland Gravel Road                                                                                                                                                    </t>
  </si>
  <si>
    <t>17-22</t>
  </si>
  <si>
    <t xml:space="preserve">407 Pecan Street                                                                                                                                                  </t>
  </si>
  <si>
    <t>25-29</t>
  </si>
  <si>
    <t xml:space="preserve">801-803 Washington Avenue                                                                                                                                                      </t>
  </si>
  <si>
    <t>32-33</t>
  </si>
  <si>
    <t xml:space="preserve">811 South Fairview Road                                                                                                                                                    </t>
  </si>
  <si>
    <t>36-37</t>
  </si>
  <si>
    <t xml:space="preserve">Glen Oaks </t>
  </si>
  <si>
    <t>40-75</t>
  </si>
  <si>
    <t xml:space="preserve">Hilltop Townhomes </t>
  </si>
  <si>
    <t>78-128</t>
  </si>
  <si>
    <t xml:space="preserve">Maple Manor Apartments                                                                                                                                             </t>
  </si>
  <si>
    <t>131-170</t>
  </si>
  <si>
    <t>Normandy Apartments</t>
  </si>
  <si>
    <t>173-194</t>
  </si>
  <si>
    <t xml:space="preserve">Oakwood Gardens </t>
  </si>
  <si>
    <t>197-246</t>
  </si>
  <si>
    <t xml:space="preserve">Pioneer Apartments </t>
  </si>
  <si>
    <t>249-278</t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</si>
  <si>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11/10/2025 08:40 AM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</si>
  <si>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</si>
  <si>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</si>
  <si>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</si>
  <si>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11/10/2025</t>
    </r>
  </si>
  <si>
    <t>74.5% Occupied</t>
  </si>
  <si>
    <t>90.0% Occupied</t>
  </si>
  <si>
    <t>92.0% Occupied</t>
  </si>
  <si>
    <t>88.3% Occupied</t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</si>
  <si>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11/17/2025 09:16 AM</t>
    </r>
  </si>
  <si>
    <r>
      <rPr>
        <rFont val="Arial"/>
        <b/>
        <color rgb="FF303030"/>
        <sz val="13.0"/>
      </rPr>
      <t xml:space="preserve">Entities: </t>
    </r>
    <r>
      <rPr>
        <rFont val="Arial"/>
        <b val="0"/>
        <color rgb="FF303030"/>
        <sz val="13.0"/>
      </rPr>
      <t>All Properties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</si>
  <si>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</si>
  <si>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</si>
  <si>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11/17/2025</t>
    </r>
  </si>
  <si>
    <t>80.0% Occupied</t>
  </si>
  <si>
    <t>70.6% Occupied</t>
  </si>
  <si>
    <t>Pioneer Apartments - 2404-2406-2408 Whitegate Drive Columbia, MO 65202</t>
  </si>
  <si>
    <t>86.3% Occupied</t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</si>
  <si>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11/24/2025 09:14 AM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</si>
  <si>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</si>
  <si>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</si>
  <si>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</si>
  <si>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11/24/2025</t>
    </r>
  </si>
  <si>
    <t>Vacant-Rented</t>
  </si>
  <si>
    <t>d</t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</si>
  <si>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12/01/2025 09:27 AM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</si>
  <si>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</si>
  <si>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</si>
  <si>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</si>
  <si>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12/01/2025</t>
    </r>
  </si>
  <si>
    <t>72.5% Occupied</t>
  </si>
  <si>
    <t>85.0% Occupied</t>
  </si>
  <si>
    <t>95.5% Occupied</t>
  </si>
  <si>
    <t>86.7% Occupied</t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</si>
  <si>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12/08/2025 09:35 AM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</si>
  <si>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</si>
  <si>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</si>
  <si>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</si>
  <si>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12/08/2025</t>
    </r>
  </si>
  <si>
    <t>75.0% Occupied</t>
  </si>
  <si>
    <t>88.0% Occupied</t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</si>
  <si>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12/15/2025 09:20 AM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</si>
  <si>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</si>
  <si>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</si>
  <si>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</si>
  <si>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12/15/2025</t>
    </r>
  </si>
  <si>
    <t>87.1% Occupied</t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</si>
  <si>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12/22/2025 09:22 AM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</si>
  <si>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</si>
  <si>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</si>
  <si>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</si>
  <si>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12/22/2025</t>
    </r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</si>
  <si>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12/29/2025 08:56 AM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</si>
  <si>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</si>
  <si>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</si>
  <si>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</si>
  <si>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12/29/2025</t>
    </r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</si>
  <si>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12/30/2025 09:09 AM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</si>
  <si>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</si>
  <si>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</si>
  <si>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</si>
  <si>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12/30/2025</t>
    </r>
  </si>
  <si>
    <t>86.0% Occupied</t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</si>
  <si>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01/04/2026 06:06 PM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</si>
  <si>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</si>
  <si>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</si>
  <si>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</si>
  <si>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01/04/2026</t>
    </r>
  </si>
  <si>
    <t>92.5% Occupied</t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</si>
  <si>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01/07/2026 11:15 AM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</si>
  <si>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</si>
  <si>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</si>
  <si>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</si>
  <si>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01/07/2026</t>
    </r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</si>
  <si>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01/09/2026 02:36 PM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</si>
  <si>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</si>
  <si>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</si>
  <si>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</si>
  <si>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01/09/2026</t>
    </r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</si>
  <si>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01/14/2026 09:06 AM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</si>
  <si>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</si>
  <si>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</si>
  <si>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</si>
  <si>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01/14/2026</t>
    </r>
  </si>
  <si>
    <t>84.0% Occupied</t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</si>
  <si>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01/19/2026 09:23 AM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</si>
  <si>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</si>
  <si>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</si>
  <si>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</si>
  <si>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01/19/2026</t>
    </r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</si>
  <si>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01/12/2026 08:57 AM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</si>
  <si>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</si>
  <si>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</si>
  <si>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</si>
  <si>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01/12/2026</t>
    </r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</si>
  <si>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01/21/2026 10:48 AM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</si>
  <si>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</si>
  <si>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</si>
  <si>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</si>
  <si>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01/21/2026</t>
    </r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</si>
  <si>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01/26/2026 08:49 AM</t>
    </r>
  </si>
  <si>
    <r>
      <rPr>
        <rFont val="Arial"/>
        <b/>
        <color rgb="FF303030"/>
        <sz val="13.0"/>
      </rPr>
      <t xml:space="preserve">Properties: </t>
    </r>
    <r>
      <rPr>
        <rFont val="Arial"/>
        <b val="0"/>
        <color rgb="FF303030"/>
        <sz val="13.0"/>
      </rPr>
      <t>All</t>
    </r>
  </si>
  <si>
    <r>
      <rPr>
        <rFont val="Arial"/>
        <b/>
        <color rgb="FF303030"/>
        <sz val="13.0"/>
      </rPr>
      <t xml:space="preserve">Units: </t>
    </r>
    <r>
      <rPr>
        <rFont val="Arial"/>
        <b val="0"/>
        <color rgb="FF303030"/>
        <sz val="13.0"/>
      </rPr>
      <t>Active</t>
    </r>
  </si>
  <si>
    <r>
      <rPr>
        <rFont val="Arial"/>
        <b/>
        <color rgb="FF303030"/>
        <sz val="13.0"/>
      </rPr>
      <t xml:space="preserve">GL Accounts: </t>
    </r>
    <r>
      <rPr>
        <rFont val="Arial"/>
        <b val="0"/>
        <color rgb="FF303030"/>
        <sz val="13.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</si>
  <si>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01/26/2026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</si>
</sst>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m/d/yyyy"/>
    <numFmt numFmtId="166" formatCode="0.0%"/>
    <numFmt numFmtId="167" formatCode="m/d/yy"/>
    <numFmt numFmtId="168" formatCode="#,##0;[Red]\-#,##0"/>
    <numFmt numFmtId="169" formatCode="#,##0.00;[Red]\-#,##0.00"/>
    <numFmt numFmtId="170" formatCode="mm/dd/yyyy"/>
    <numFmt numFmtId="171" formatCode="m-d"/>
  </numFmts>
  <fonts count="16">
    <font>
      <sz val="10.0"/>
      <color rgb="FF000000"/>
      <name val="Arial"/>
      <scheme val="minor"/>
    </font>
    <font>
      <b/>
      <u/>
      <color rgb="FF0000FF"/>
    </font>
    <font>
      <b/>
      <color rgb="FFFFFFFF"/>
      <name val="Arial"/>
      <scheme val="minor"/>
    </font>
    <font>
      <color rgb="FFFFFFFF"/>
      <name val="Arial"/>
      <scheme val="minor"/>
    </font>
    <font>
      <b/>
      <u/>
      <color rgb="FF5392F7"/>
      <name val="Arial"/>
      <scheme val="minor"/>
    </font>
    <font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8.0"/>
      <color rgb="FF303030"/>
      <name val="Arial"/>
    </font>
    <font>
      <sz val="10.0"/>
      <color rgb="FF000000"/>
      <name val="Arial"/>
    </font>
    <font>
      <sz val="9.0"/>
      <color rgb="FF303030"/>
      <name val="Arial"/>
    </font>
    <font>
      <sz val="13.0"/>
      <color rgb="FF303030"/>
      <name val="Arial"/>
    </font>
    <font>
      <b/>
      <sz val="13.0"/>
      <color rgb="FF303030"/>
      <name val="Arial"/>
    </font>
    <font>
      <b/>
      <sz val="12.0"/>
      <color rgb="FF3764A0"/>
      <name val="Arial"/>
    </font>
    <font>
      <sz val="12.0"/>
      <color rgb="FF303030"/>
      <name val="Arial"/>
    </font>
    <font>
      <b/>
      <sz val="12.0"/>
      <color rgb="FF303030"/>
      <name val="Arial"/>
    </font>
  </fonts>
  <fills count="6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5491F7"/>
        <bgColor rgb="FF5491F7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D7EFE4"/>
        <bgColor rgb="FFD7EFE4"/>
      </patternFill>
    </fill>
    <fill>
      <patternFill patternType="solid">
        <fgColor rgb="FFFCF3F2"/>
        <bgColor rgb="FFFCF3F2"/>
      </patternFill>
    </fill>
    <fill>
      <patternFill patternType="solid">
        <fgColor rgb="FFF5CAC6"/>
        <bgColor rgb="FFF5CAC6"/>
      </patternFill>
    </fill>
    <fill>
      <patternFill patternType="solid">
        <fgColor rgb="FF57BB8A"/>
        <bgColor rgb="FF57BB8A"/>
      </patternFill>
    </fill>
    <fill>
      <patternFill patternType="solid">
        <fgColor rgb="FFE8F0FE"/>
        <bgColor rgb="FFE8F0FE"/>
      </patternFill>
    </fill>
    <fill>
      <patternFill patternType="solid">
        <fgColor rgb="FFF8DFDC"/>
        <bgColor rgb="FFF8DFDC"/>
      </patternFill>
    </fill>
    <fill>
      <patternFill patternType="solid">
        <fgColor rgb="FFFCF1F0"/>
        <bgColor rgb="FFFCF1F0"/>
      </patternFill>
    </fill>
    <fill>
      <patternFill patternType="solid">
        <fgColor rgb="FFF5C6C2"/>
        <bgColor rgb="FFF5C6C2"/>
      </patternFill>
    </fill>
    <fill>
      <patternFill patternType="solid">
        <fgColor rgb="FFF4C5C1"/>
        <bgColor rgb="FFF4C5C1"/>
      </patternFill>
    </fill>
    <fill>
      <patternFill patternType="solid">
        <fgColor rgb="FFF3F3F3"/>
        <bgColor rgb="FFF3F3F3"/>
      </patternFill>
    </fill>
    <fill>
      <patternFill patternType="solid">
        <fgColor rgb="FFFDF7F6"/>
        <bgColor rgb="FFFDF7F6"/>
      </patternFill>
    </fill>
    <fill>
      <patternFill patternType="solid">
        <fgColor rgb="FFCAE9DA"/>
        <bgColor rgb="FFCAE9DA"/>
      </patternFill>
    </fill>
    <fill>
      <patternFill patternType="solid">
        <fgColor rgb="FF77C8A0"/>
        <bgColor rgb="FF77C8A0"/>
      </patternFill>
    </fill>
    <fill>
      <patternFill patternType="solid">
        <fgColor rgb="FFFAE8E6"/>
        <bgColor rgb="FFFAE8E6"/>
      </patternFill>
    </fill>
    <fill>
      <patternFill patternType="solid">
        <fgColor rgb="FFF8FCFA"/>
        <bgColor rgb="FFF8FCFA"/>
      </patternFill>
    </fill>
    <fill>
      <patternFill patternType="solid">
        <fgColor rgb="FFAEDFC7"/>
        <bgColor rgb="FFAEDFC7"/>
      </patternFill>
    </fill>
    <fill>
      <patternFill patternType="solid">
        <fgColor rgb="FFE67C73"/>
        <bgColor rgb="FFE67C73"/>
      </patternFill>
    </fill>
    <fill>
      <patternFill patternType="solid">
        <fgColor rgb="FFF8DEDC"/>
        <bgColor rgb="FFF8DEDC"/>
      </patternFill>
    </fill>
    <fill>
      <patternFill patternType="solid">
        <fgColor rgb="FFF6D0CD"/>
        <bgColor rgb="FFF6D0CD"/>
      </patternFill>
    </fill>
    <fill>
      <patternFill patternType="solid">
        <fgColor rgb="FFF0B3AD"/>
        <bgColor rgb="FFF0B3AD"/>
      </patternFill>
    </fill>
    <fill>
      <patternFill patternType="solid">
        <fgColor rgb="FFFEF8F8"/>
        <bgColor rgb="FFFEF8F8"/>
      </patternFill>
    </fill>
    <fill>
      <patternFill patternType="solid">
        <fgColor rgb="FFFDF4F4"/>
        <bgColor rgb="FFFDF4F4"/>
      </patternFill>
    </fill>
    <fill>
      <patternFill patternType="solid">
        <fgColor rgb="FFE88981"/>
        <bgColor rgb="FFE88981"/>
      </patternFill>
    </fill>
    <fill>
      <patternFill patternType="solid">
        <fgColor rgb="FFF7D6D3"/>
        <bgColor rgb="FFF7D6D3"/>
      </patternFill>
    </fill>
    <fill>
      <patternFill patternType="solid">
        <fgColor rgb="FFF9E0DE"/>
        <bgColor rgb="FFF9E0DE"/>
      </patternFill>
    </fill>
    <fill>
      <patternFill patternType="solid">
        <fgColor rgb="FFFDF8F8"/>
        <bgColor rgb="FFFDF8F8"/>
      </patternFill>
    </fill>
    <fill>
      <patternFill patternType="solid">
        <fgColor rgb="FFF5CECB"/>
        <bgColor rgb="FFF5CECB"/>
      </patternFill>
    </fill>
    <fill>
      <patternFill patternType="solid">
        <fgColor rgb="FFF0B0B0"/>
        <bgColor rgb="FFF0B0B0"/>
      </patternFill>
    </fill>
    <fill>
      <patternFill patternType="solid">
        <fgColor rgb="FFD6EFE3"/>
        <bgColor rgb="FFD6EFE3"/>
      </patternFill>
    </fill>
    <fill>
      <patternFill patternType="solid">
        <fgColor rgb="FFE78383"/>
        <bgColor rgb="FFE78383"/>
      </patternFill>
    </fill>
    <fill>
      <patternFill patternType="solid">
        <fgColor rgb="FFB8E3CE"/>
        <bgColor rgb="FFB8E3CE"/>
      </patternFill>
    </fill>
    <fill>
      <patternFill patternType="solid">
        <fgColor rgb="FFFCF0EF"/>
        <bgColor rgb="FFFCF0EF"/>
      </patternFill>
    </fill>
    <fill>
      <patternFill patternType="solid">
        <fgColor rgb="FFECA099"/>
        <bgColor rgb="FFECA099"/>
      </patternFill>
    </fill>
    <fill>
      <patternFill patternType="solid">
        <fgColor rgb="FFE26C6C"/>
        <bgColor rgb="FFE26C6C"/>
      </patternFill>
    </fill>
    <fill>
      <patternFill patternType="solid">
        <fgColor rgb="FFAADDC4"/>
        <bgColor rgb="FFAADDC4"/>
      </patternFill>
    </fill>
    <fill>
      <patternFill patternType="solid">
        <fgColor rgb="FFF3BEB9"/>
        <bgColor rgb="FFF3BEB9"/>
      </patternFill>
    </fill>
    <fill>
      <patternFill patternType="solid">
        <fgColor rgb="FFF0F9F5"/>
        <bgColor rgb="FFF0F9F5"/>
      </patternFill>
    </fill>
    <fill>
      <patternFill patternType="solid">
        <fgColor rgb="FFFAE9E7"/>
        <bgColor rgb="FFFAE9E7"/>
      </patternFill>
    </fill>
    <fill>
      <patternFill patternType="solid">
        <fgColor rgb="FFFBEBEB"/>
        <bgColor rgb="FFFBEBEB"/>
      </patternFill>
    </fill>
    <fill>
      <patternFill patternType="solid">
        <fgColor rgb="FFFBFEFC"/>
        <bgColor rgb="FFFBFEFC"/>
      </patternFill>
    </fill>
    <fill>
      <patternFill patternType="solid">
        <fgColor rgb="FFBCE4D1"/>
        <bgColor rgb="FFBCE4D1"/>
      </patternFill>
    </fill>
    <fill>
      <patternFill patternType="solid">
        <fgColor rgb="FFFAE9E8"/>
        <bgColor rgb="FFFAE9E8"/>
      </patternFill>
    </fill>
    <fill>
      <patternFill patternType="solid">
        <fgColor rgb="FFEEAAAA"/>
        <bgColor rgb="FFEEAAAA"/>
      </patternFill>
    </fill>
    <fill>
      <patternFill patternType="solid">
        <fgColor rgb="FFC8E9D9"/>
        <bgColor rgb="FFC8E9D9"/>
      </patternFill>
    </fill>
    <fill>
      <patternFill patternType="solid">
        <fgColor rgb="FFF6D4D1"/>
        <bgColor rgb="FFF6D4D1"/>
      </patternFill>
    </fill>
    <fill>
      <patternFill patternType="solid">
        <fgColor rgb="FFF4C6C6"/>
        <bgColor rgb="FFF4C6C6"/>
      </patternFill>
    </fill>
    <fill>
      <patternFill patternType="solid">
        <fgColor rgb="FFE9F6F0"/>
        <bgColor rgb="FFE9F6F0"/>
      </patternFill>
    </fill>
    <fill>
      <patternFill patternType="solid">
        <fgColor rgb="FFC6E8D7"/>
        <bgColor rgb="FFC6E8D7"/>
      </patternFill>
    </fill>
    <fill>
      <patternFill patternType="solid">
        <fgColor rgb="FFF4C8C4"/>
        <bgColor rgb="FFF4C8C4"/>
      </patternFill>
    </fill>
    <fill>
      <patternFill patternType="solid">
        <fgColor rgb="FFF6CFCC"/>
        <bgColor rgb="FFF6CFCC"/>
      </patternFill>
    </fill>
    <fill>
      <patternFill patternType="solid">
        <fgColor rgb="FFEFA8A2"/>
        <bgColor rgb="FFEFA8A2"/>
      </patternFill>
    </fill>
    <fill>
      <patternFill patternType="solid">
        <fgColor rgb="FFEDA59F"/>
        <bgColor rgb="FFEDA59F"/>
      </patternFill>
    </fill>
    <fill>
      <patternFill patternType="solid">
        <fgColor rgb="FFF4C6C2"/>
        <bgColor rgb="FFF4C6C2"/>
      </patternFill>
    </fill>
    <fill>
      <patternFill patternType="solid">
        <fgColor rgb="FFFAE5E3"/>
        <bgColor rgb="FFFAE5E3"/>
      </patternFill>
    </fill>
    <fill>
      <patternFill patternType="solid">
        <fgColor rgb="FFFEFAFA"/>
        <bgColor rgb="FFFEFAFA"/>
      </patternFill>
    </fill>
    <fill>
      <patternFill patternType="solid">
        <fgColor rgb="FFE4F4EC"/>
        <bgColor rgb="FFE4F4EC"/>
      </patternFill>
    </fill>
    <fill>
      <patternFill patternType="solid">
        <fgColor rgb="FFF4C7C3"/>
        <bgColor rgb="FFF4C7C3"/>
      </patternFill>
    </fill>
    <fill>
      <patternFill patternType="solid">
        <fgColor rgb="FFF2B7B2"/>
        <bgColor rgb="FFF2B7B2"/>
      </patternFill>
    </fill>
    <fill>
      <patternFill patternType="solid">
        <fgColor rgb="FFECF3F9"/>
        <bgColor rgb="FFECF3F9"/>
      </patternFill>
    </fill>
    <fill>
      <patternFill patternType="solid">
        <fgColor rgb="FFF2F2F2"/>
        <bgColor rgb="FFF2F2F2"/>
      </patternFill>
    </fill>
  </fills>
  <borders count="36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thin">
        <color rgb="FFD3D3D3"/>
      </top>
      <bottom style="thin">
        <color rgb="FFD3D3D3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3" fillId="2" fontId="2" numFmtId="0" xfId="0" applyAlignment="1" applyBorder="1" applyFont="1">
      <alignment horizontal="center" readingOrder="0"/>
    </xf>
    <xf borderId="1" fillId="2" fontId="2" numFmtId="10" xfId="0" applyAlignment="1" applyBorder="1" applyFont="1" applyNumberFormat="1">
      <alignment horizontal="center" readingOrder="0"/>
    </xf>
    <xf borderId="0" fillId="0" fontId="3" numFmtId="0" xfId="0" applyFont="1"/>
    <xf borderId="4" fillId="3" fontId="2" numFmtId="165" xfId="0" applyAlignment="1" applyBorder="1" applyFill="1" applyFont="1" applyNumberFormat="1">
      <alignment horizontal="center"/>
    </xf>
    <xf borderId="5" fillId="3" fontId="4" numFmtId="0" xfId="0" applyAlignment="1" applyBorder="1" applyFont="1">
      <alignment horizontal="center" readingOrder="0"/>
    </xf>
    <xf borderId="5" fillId="3" fontId="2" numFmtId="0" xfId="0" applyAlignment="1" applyBorder="1" applyFont="1">
      <alignment horizontal="center" readingOrder="0"/>
    </xf>
    <xf borderId="5" fillId="3" fontId="2" numFmtId="164" xfId="0" applyAlignment="1" applyBorder="1" applyFont="1" applyNumberFormat="1">
      <alignment horizontal="center"/>
    </xf>
    <xf borderId="5" fillId="3" fontId="2" numFmtId="164" xfId="0" applyAlignment="1" applyBorder="1" applyFont="1" applyNumberFormat="1">
      <alignment horizontal="center" readingOrder="0"/>
    </xf>
    <xf borderId="5" fillId="3" fontId="2" numFmtId="10" xfId="0" applyAlignment="1" applyBorder="1" applyFont="1" applyNumberFormat="1">
      <alignment horizontal="center" readingOrder="0"/>
    </xf>
    <xf borderId="0" fillId="4" fontId="5" numFmtId="0" xfId="0" applyAlignment="1" applyFill="1" applyFont="1">
      <alignment readingOrder="0"/>
    </xf>
    <xf borderId="6" fillId="5" fontId="6" numFmtId="10" xfId="0" applyAlignment="1" applyBorder="1" applyFill="1" applyFont="1" applyNumberFormat="1">
      <alignment vertical="bottom"/>
    </xf>
    <xf borderId="7" fillId="5" fontId="6" numFmtId="10" xfId="0" applyAlignment="1" applyBorder="1" applyFont="1" applyNumberFormat="1">
      <alignment vertical="bottom"/>
    </xf>
    <xf borderId="8" fillId="6" fontId="6" numFmtId="166" xfId="0" applyAlignment="1" applyBorder="1" applyFill="1" applyFont="1" applyNumberFormat="1">
      <alignment horizontal="right" vertical="bottom"/>
    </xf>
    <xf borderId="6" fillId="7" fontId="6" numFmtId="166" xfId="0" applyAlignment="1" applyBorder="1" applyFill="1" applyFont="1" applyNumberFormat="1">
      <alignment horizontal="right" vertical="bottom"/>
    </xf>
    <xf borderId="7" fillId="5" fontId="6" numFmtId="164" xfId="0" applyAlignment="1" applyBorder="1" applyFont="1" applyNumberFormat="1">
      <alignment horizontal="right" vertical="bottom"/>
    </xf>
    <xf borderId="7" fillId="8" fontId="6" numFmtId="164" xfId="0" applyAlignment="1" applyBorder="1" applyFill="1" applyFont="1" applyNumberFormat="1">
      <alignment horizontal="right" vertical="bottom"/>
    </xf>
    <xf borderId="9" fillId="9" fontId="6" numFmtId="0" xfId="0" applyAlignment="1" applyBorder="1" applyFill="1" applyFont="1">
      <alignment horizontal="right" vertical="bottom"/>
    </xf>
    <xf borderId="9" fillId="9" fontId="6" numFmtId="10" xfId="0" applyAlignment="1" applyBorder="1" applyFont="1" applyNumberFormat="1">
      <alignment horizontal="right" vertical="bottom"/>
    </xf>
    <xf borderId="0" fillId="5" fontId="5" numFmtId="0" xfId="0" applyAlignment="1" applyFont="1">
      <alignment readingOrder="0"/>
    </xf>
    <xf borderId="0" fillId="5" fontId="5" numFmtId="0" xfId="0" applyFont="1"/>
    <xf borderId="4" fillId="10" fontId="6" numFmtId="10" xfId="0" applyAlignment="1" applyBorder="1" applyFill="1" applyFont="1" applyNumberFormat="1">
      <alignment vertical="bottom"/>
    </xf>
    <xf borderId="5" fillId="10" fontId="6" numFmtId="10" xfId="0" applyAlignment="1" applyBorder="1" applyFont="1" applyNumberFormat="1">
      <alignment vertical="bottom"/>
    </xf>
    <xf borderId="10" fillId="11" fontId="6" numFmtId="166" xfId="0" applyAlignment="1" applyBorder="1" applyFill="1" applyFont="1" applyNumberFormat="1">
      <alignment horizontal="right" vertical="bottom"/>
    </xf>
    <xf borderId="4" fillId="12" fontId="6" numFmtId="166" xfId="0" applyAlignment="1" applyBorder="1" applyFill="1" applyFont="1" applyNumberFormat="1">
      <alignment horizontal="right" vertical="bottom"/>
    </xf>
    <xf borderId="5" fillId="13" fontId="6" numFmtId="164" xfId="0" applyAlignment="1" applyBorder="1" applyFill="1" applyFont="1" applyNumberFormat="1">
      <alignment horizontal="right" vertical="bottom"/>
    </xf>
    <xf borderId="5" fillId="14" fontId="6" numFmtId="164" xfId="0" applyAlignment="1" applyBorder="1" applyFill="1" applyFont="1" applyNumberFormat="1">
      <alignment horizontal="right" vertical="bottom"/>
    </xf>
    <xf borderId="11" fillId="9" fontId="6" numFmtId="0" xfId="0" applyAlignment="1" applyBorder="1" applyFont="1">
      <alignment horizontal="right" vertical="bottom"/>
    </xf>
    <xf borderId="11" fillId="9" fontId="6" numFmtId="10" xfId="0" applyAlignment="1" applyBorder="1" applyFont="1" applyNumberFormat="1">
      <alignment horizontal="right" vertical="bottom"/>
    </xf>
    <xf borderId="0" fillId="15" fontId="5" numFmtId="0" xfId="0" applyFill="1" applyFont="1"/>
    <xf borderId="4" fillId="5" fontId="6" numFmtId="10" xfId="0" applyAlignment="1" applyBorder="1" applyFont="1" applyNumberFormat="1">
      <alignment vertical="bottom"/>
    </xf>
    <xf borderId="5" fillId="5" fontId="6" numFmtId="10" xfId="0" applyAlignment="1" applyBorder="1" applyFont="1" applyNumberFormat="1">
      <alignment vertical="bottom"/>
    </xf>
    <xf borderId="10" fillId="9" fontId="6" numFmtId="166" xfId="0" applyAlignment="1" applyBorder="1" applyFont="1" applyNumberFormat="1">
      <alignment horizontal="right" vertical="bottom"/>
    </xf>
    <xf borderId="4" fillId="16" fontId="6" numFmtId="166" xfId="0" applyAlignment="1" applyBorder="1" applyFill="1" applyFont="1" applyNumberFormat="1">
      <alignment horizontal="right" vertical="bottom"/>
    </xf>
    <xf borderId="5" fillId="17" fontId="6" numFmtId="164" xfId="0" applyAlignment="1" applyBorder="1" applyFill="1" applyFont="1" applyNumberFormat="1">
      <alignment horizontal="right" vertical="bottom"/>
    </xf>
    <xf borderId="5" fillId="18" fontId="6" numFmtId="164" xfId="0" applyAlignment="1" applyBorder="1" applyFill="1" applyFont="1" applyNumberFormat="1">
      <alignment horizontal="right" vertical="bottom"/>
    </xf>
    <xf borderId="0" fillId="0" fontId="5" numFmtId="10" xfId="0" applyAlignment="1" applyFont="1" applyNumberFormat="1">
      <alignment readingOrder="0"/>
    </xf>
    <xf borderId="12" fillId="0" fontId="5" numFmtId="166" xfId="0" applyBorder="1" applyFont="1" applyNumberFormat="1"/>
    <xf borderId="2" fillId="0" fontId="5" numFmtId="166" xfId="0" applyBorder="1" applyFont="1" applyNumberFormat="1"/>
    <xf borderId="0" fillId="0" fontId="5" numFmtId="164" xfId="0" applyFont="1" applyNumberFormat="1"/>
    <xf borderId="0" fillId="0" fontId="5" numFmtId="164" xfId="0" applyFont="1" applyNumberFormat="1"/>
    <xf borderId="3" fillId="0" fontId="5" numFmtId="0" xfId="0" applyBorder="1" applyFont="1"/>
    <xf borderId="3" fillId="0" fontId="5" numFmtId="10" xfId="0" applyBorder="1" applyFont="1" applyNumberFormat="1"/>
    <xf borderId="0" fillId="0" fontId="5" numFmtId="10" xfId="0" applyFont="1" applyNumberFormat="1"/>
    <xf borderId="0" fillId="0" fontId="5" numFmtId="0" xfId="0" applyAlignment="1" applyFont="1">
      <alignment readingOrder="0"/>
    </xf>
    <xf borderId="4" fillId="2" fontId="3" numFmtId="167" xfId="0" applyAlignment="1" applyBorder="1" applyFont="1" applyNumberFormat="1">
      <alignment readingOrder="0"/>
    </xf>
    <xf borderId="5" fillId="2" fontId="3" numFmtId="10" xfId="0" applyBorder="1" applyFont="1" applyNumberFormat="1"/>
    <xf borderId="10" fillId="2" fontId="2" numFmtId="166" xfId="0" applyBorder="1" applyFont="1" applyNumberFormat="1"/>
    <xf borderId="4" fillId="2" fontId="2" numFmtId="166" xfId="0" applyBorder="1" applyFont="1" applyNumberFormat="1"/>
    <xf borderId="5" fillId="2" fontId="2" numFmtId="164" xfId="0" applyBorder="1" applyFont="1" applyNumberFormat="1"/>
    <xf borderId="11" fillId="2" fontId="2" numFmtId="0" xfId="0" applyBorder="1" applyFont="1"/>
    <xf borderId="11" fillId="2" fontId="2" numFmtId="10" xfId="0" applyBorder="1" applyFont="1" applyNumberFormat="1"/>
    <xf borderId="10" fillId="6" fontId="6" numFmtId="166" xfId="0" applyAlignment="1" applyBorder="1" applyFont="1" applyNumberFormat="1">
      <alignment horizontal="right" vertical="bottom"/>
    </xf>
    <xf borderId="4" fillId="7" fontId="6" numFmtId="166" xfId="0" applyAlignment="1" applyBorder="1" applyFont="1" applyNumberFormat="1">
      <alignment horizontal="right" vertical="bottom"/>
    </xf>
    <xf borderId="5" fillId="5" fontId="6" numFmtId="164" xfId="0" applyAlignment="1" applyBorder="1" applyFont="1" applyNumberFormat="1">
      <alignment horizontal="right" vertical="bottom"/>
    </xf>
    <xf borderId="5" fillId="8" fontId="6" numFmtId="164" xfId="0" applyAlignment="1" applyBorder="1" applyFont="1" applyNumberFormat="1">
      <alignment horizontal="right" vertical="bottom"/>
    </xf>
    <xf borderId="0" fillId="10" fontId="6" numFmtId="10" xfId="0" applyAlignment="1" applyFont="1" applyNumberFormat="1">
      <alignment vertical="bottom"/>
    </xf>
    <xf borderId="12" fillId="9" fontId="6" numFmtId="166" xfId="0" applyAlignment="1" applyBorder="1" applyFont="1" applyNumberFormat="1">
      <alignment horizontal="right" vertical="bottom"/>
    </xf>
    <xf borderId="2" fillId="19" fontId="6" numFmtId="166" xfId="0" applyAlignment="1" applyBorder="1" applyFill="1" applyFont="1" applyNumberFormat="1">
      <alignment horizontal="right" vertical="bottom"/>
    </xf>
    <xf borderId="0" fillId="20" fontId="6" numFmtId="164" xfId="0" applyAlignment="1" applyFill="1" applyFont="1" applyNumberFormat="1">
      <alignment horizontal="right" vertical="bottom"/>
    </xf>
    <xf borderId="0" fillId="21" fontId="6" numFmtId="164" xfId="0" applyAlignment="1" applyFill="1" applyFont="1" applyNumberFormat="1">
      <alignment horizontal="right" vertical="bottom"/>
    </xf>
    <xf borderId="3" fillId="5" fontId="6" numFmtId="0" xfId="0" applyAlignment="1" applyBorder="1" applyFont="1">
      <alignment horizontal="right" vertical="bottom"/>
    </xf>
    <xf borderId="3" fillId="5" fontId="6" numFmtId="10" xfId="0" applyAlignment="1" applyBorder="1" applyFont="1" applyNumberFormat="1">
      <alignment horizontal="right" vertical="bottom"/>
    </xf>
    <xf borderId="0" fillId="5" fontId="6" numFmtId="10" xfId="0" applyAlignment="1" applyFont="1" applyNumberFormat="1">
      <alignment vertical="bottom"/>
    </xf>
    <xf borderId="12" fillId="22" fontId="6" numFmtId="166" xfId="0" applyAlignment="1" applyBorder="1" applyFill="1" applyFont="1" applyNumberFormat="1">
      <alignment horizontal="right" vertical="bottom"/>
    </xf>
    <xf borderId="2" fillId="23" fontId="6" numFmtId="166" xfId="0" applyAlignment="1" applyBorder="1" applyFill="1" applyFont="1" applyNumberFormat="1">
      <alignment horizontal="right" vertical="bottom"/>
    </xf>
    <xf borderId="0" fillId="24" fontId="6" numFmtId="164" xfId="0" applyAlignment="1" applyFill="1" applyFont="1" applyNumberFormat="1">
      <alignment horizontal="right" vertical="bottom"/>
    </xf>
    <xf borderId="2" fillId="25" fontId="6" numFmtId="166" xfId="0" applyAlignment="1" applyBorder="1" applyFill="1" applyFont="1" applyNumberFormat="1">
      <alignment horizontal="right" vertical="bottom"/>
    </xf>
    <xf borderId="0" fillId="26" fontId="6" numFmtId="164" xfId="0" applyAlignment="1" applyFill="1" applyFont="1" applyNumberFormat="1">
      <alignment horizontal="right" vertical="bottom"/>
    </xf>
    <xf borderId="0" fillId="27" fontId="6" numFmtId="164" xfId="0" applyAlignment="1" applyFill="1" applyFont="1" applyNumberFormat="1">
      <alignment horizontal="right" vertical="bottom"/>
    </xf>
    <xf borderId="2" fillId="28" fontId="6" numFmtId="166" xfId="0" applyAlignment="1" applyBorder="1" applyFill="1" applyFont="1" applyNumberFormat="1">
      <alignment horizontal="right" vertical="bottom"/>
    </xf>
    <xf borderId="0" fillId="29" fontId="6" numFmtId="164" xfId="0" applyAlignment="1" applyFill="1" applyFont="1" applyNumberFormat="1">
      <alignment horizontal="right" vertical="bottom"/>
    </xf>
    <xf borderId="2" fillId="30" fontId="6" numFmtId="166" xfId="0" applyAlignment="1" applyBorder="1" applyFill="1" applyFont="1" applyNumberFormat="1">
      <alignment horizontal="right" vertical="bottom"/>
    </xf>
    <xf borderId="0" fillId="5" fontId="6" numFmtId="164" xfId="0" applyAlignment="1" applyFont="1" applyNumberFormat="1">
      <alignment horizontal="right" vertical="bottom"/>
    </xf>
    <xf borderId="0" fillId="5" fontId="6" numFmtId="0" xfId="0" applyAlignment="1" applyFont="1">
      <alignment vertical="bottom"/>
    </xf>
    <xf borderId="12" fillId="31" fontId="6" numFmtId="166" xfId="0" applyAlignment="1" applyBorder="1" applyFill="1" applyFont="1" applyNumberFormat="1">
      <alignment horizontal="right" vertical="bottom"/>
    </xf>
    <xf borderId="2" fillId="32" fontId="6" numFmtId="166" xfId="0" applyAlignment="1" applyBorder="1" applyFill="1" applyFont="1" applyNumberFormat="1">
      <alignment horizontal="right" vertical="bottom"/>
    </xf>
    <xf borderId="0" fillId="33" fontId="6" numFmtId="164" xfId="0" applyAlignment="1" applyFill="1" applyFont="1" applyNumberFormat="1">
      <alignment horizontal="right" vertical="bottom"/>
    </xf>
    <xf borderId="0" fillId="34" fontId="6" numFmtId="164" xfId="0" applyAlignment="1" applyFill="1" applyFont="1" applyNumberFormat="1">
      <alignment horizontal="right" vertical="bottom"/>
    </xf>
    <xf borderId="12" fillId="25" fontId="6" numFmtId="166" xfId="0" applyAlignment="1" applyBorder="1" applyFont="1" applyNumberFormat="1">
      <alignment horizontal="right" vertical="bottom"/>
    </xf>
    <xf borderId="0" fillId="35" fontId="6" numFmtId="164" xfId="0" applyAlignment="1" applyFill="1" applyFont="1" applyNumberFormat="1">
      <alignment horizontal="right" vertical="bottom"/>
    </xf>
    <xf borderId="0" fillId="36" fontId="6" numFmtId="164" xfId="0" applyAlignment="1" applyFill="1" applyFont="1" applyNumberFormat="1">
      <alignment horizontal="right" vertical="bottom"/>
    </xf>
    <xf borderId="12" fillId="37" fontId="6" numFmtId="166" xfId="0" applyAlignment="1" applyBorder="1" applyFill="1" applyFont="1" applyNumberFormat="1">
      <alignment horizontal="right" vertical="bottom"/>
    </xf>
    <xf borderId="2" fillId="38" fontId="6" numFmtId="166" xfId="0" applyAlignment="1" applyBorder="1" applyFill="1" applyFont="1" applyNumberFormat="1">
      <alignment horizontal="right" vertical="bottom"/>
    </xf>
    <xf borderId="0" fillId="39" fontId="6" numFmtId="164" xfId="0" applyAlignment="1" applyFill="1" applyFont="1" applyNumberFormat="1">
      <alignment horizontal="right" vertical="bottom"/>
    </xf>
    <xf borderId="0" fillId="40" fontId="6" numFmtId="164" xfId="0" applyAlignment="1" applyFill="1" applyFont="1" applyNumberFormat="1">
      <alignment horizontal="right" vertical="bottom"/>
    </xf>
    <xf borderId="3" fillId="41" fontId="6" numFmtId="0" xfId="0" applyAlignment="1" applyBorder="1" applyFill="1" applyFont="1">
      <alignment horizontal="right" vertical="bottom"/>
    </xf>
    <xf borderId="3" fillId="41" fontId="6" numFmtId="10" xfId="0" applyAlignment="1" applyBorder="1" applyFont="1" applyNumberFormat="1">
      <alignment horizontal="right" vertical="bottom"/>
    </xf>
    <xf borderId="12" fillId="42" fontId="6" numFmtId="166" xfId="0" applyAlignment="1" applyBorder="1" applyFill="1" applyFont="1" applyNumberFormat="1">
      <alignment horizontal="right" vertical="bottom"/>
    </xf>
    <xf borderId="2" fillId="43" fontId="6" numFmtId="166" xfId="0" applyAlignment="1" applyBorder="1" applyFill="1" applyFont="1" applyNumberFormat="1">
      <alignment horizontal="right" vertical="bottom"/>
    </xf>
    <xf borderId="0" fillId="44" fontId="6" numFmtId="164" xfId="0" applyAlignment="1" applyFill="1" applyFont="1" applyNumberFormat="1">
      <alignment horizontal="right" vertical="bottom"/>
    </xf>
    <xf borderId="0" fillId="45" fontId="6" numFmtId="164" xfId="0" applyAlignment="1" applyFill="1" applyFont="1" applyNumberFormat="1">
      <alignment horizontal="right" vertical="bottom"/>
    </xf>
    <xf borderId="12" fillId="46" fontId="6" numFmtId="166" xfId="0" applyAlignment="1" applyBorder="1" applyFill="1" applyFont="1" applyNumberFormat="1">
      <alignment horizontal="right" vertical="bottom"/>
    </xf>
    <xf borderId="2" fillId="47" fontId="6" numFmtId="166" xfId="0" applyAlignment="1" applyBorder="1" applyFill="1" applyFont="1" applyNumberFormat="1">
      <alignment horizontal="right" vertical="bottom"/>
    </xf>
    <xf borderId="0" fillId="48" fontId="6" numFmtId="164" xfId="0" applyAlignment="1" applyFill="1" applyFont="1" applyNumberFormat="1">
      <alignment horizontal="right" vertical="bottom"/>
    </xf>
    <xf borderId="0" fillId="49" fontId="6" numFmtId="164" xfId="0" applyAlignment="1" applyFill="1" applyFont="1" applyNumberFormat="1">
      <alignment horizontal="right" vertical="bottom"/>
    </xf>
    <xf borderId="0" fillId="10" fontId="6" numFmtId="0" xfId="0" applyAlignment="1" applyFont="1">
      <alignment vertical="bottom"/>
    </xf>
    <xf borderId="2" fillId="50" fontId="6" numFmtId="166" xfId="0" applyAlignment="1" applyBorder="1" applyFill="1" applyFont="1" applyNumberFormat="1">
      <alignment horizontal="right" vertical="bottom"/>
    </xf>
    <xf borderId="0" fillId="51" fontId="6" numFmtId="164" xfId="0" applyAlignment="1" applyFill="1" applyFont="1" applyNumberFormat="1">
      <alignment horizontal="right" vertical="bottom"/>
    </xf>
    <xf borderId="0" fillId="52" fontId="6" numFmtId="164" xfId="0" applyAlignment="1" applyFill="1" applyFont="1" applyNumberFormat="1">
      <alignment horizontal="right" vertical="bottom"/>
    </xf>
    <xf borderId="10" fillId="53" fontId="6" numFmtId="166" xfId="0" applyAlignment="1" applyBorder="1" applyFill="1" applyFont="1" applyNumberFormat="1">
      <alignment horizontal="right" vertical="bottom"/>
    </xf>
    <xf borderId="4" fillId="54" fontId="6" numFmtId="166" xfId="0" applyAlignment="1" applyBorder="1" applyFill="1" applyFont="1" applyNumberFormat="1">
      <alignment horizontal="right" vertical="bottom"/>
    </xf>
    <xf borderId="5" fillId="55" fontId="6" numFmtId="164" xfId="0" applyAlignment="1" applyBorder="1" applyFill="1" applyFont="1" applyNumberFormat="1">
      <alignment horizontal="right" vertical="bottom"/>
    </xf>
    <xf borderId="5" fillId="56" fontId="6" numFmtId="164" xfId="0" applyAlignment="1" applyBorder="1" applyFill="1" applyFont="1" applyNumberFormat="1">
      <alignment horizontal="right" vertical="bottom"/>
    </xf>
    <xf borderId="11" fillId="5" fontId="6" numFmtId="0" xfId="0" applyAlignment="1" applyBorder="1" applyFont="1">
      <alignment horizontal="right" vertical="bottom"/>
    </xf>
    <xf borderId="9" fillId="5" fontId="6" numFmtId="10" xfId="0" applyAlignment="1" applyBorder="1" applyFont="1" applyNumberFormat="1">
      <alignment horizontal="right" vertical="bottom"/>
    </xf>
    <xf borderId="10" fillId="57" fontId="6" numFmtId="166" xfId="0" applyAlignment="1" applyBorder="1" applyFill="1" applyFont="1" applyNumberFormat="1">
      <alignment horizontal="right" vertical="bottom"/>
    </xf>
    <xf borderId="4" fillId="58" fontId="6" numFmtId="166" xfId="0" applyAlignment="1" applyBorder="1" applyFill="1" applyFont="1" applyNumberFormat="1">
      <alignment horizontal="right" vertical="bottom"/>
    </xf>
    <xf borderId="5" fillId="59" fontId="6" numFmtId="164" xfId="0" applyAlignment="1" applyBorder="1" applyFill="1" applyFont="1" applyNumberFormat="1">
      <alignment horizontal="right" vertical="bottom"/>
    </xf>
    <xf borderId="5" fillId="60" fontId="6" numFmtId="164" xfId="0" applyAlignment="1" applyBorder="1" applyFill="1" applyFont="1" applyNumberFormat="1">
      <alignment horizontal="right" vertical="bottom"/>
    </xf>
    <xf borderId="11" fillId="5" fontId="6" numFmtId="10" xfId="0" applyAlignment="1" applyBorder="1" applyFont="1" applyNumberFormat="1">
      <alignment horizontal="right" vertical="bottom"/>
    </xf>
    <xf borderId="10" fillId="61" fontId="6" numFmtId="166" xfId="0" applyAlignment="1" applyBorder="1" applyFill="1" applyFont="1" applyNumberFormat="1">
      <alignment horizontal="right" vertical="bottom"/>
    </xf>
    <xf borderId="4" fillId="62" fontId="6" numFmtId="166" xfId="0" applyAlignment="1" applyBorder="1" applyFill="1" applyFont="1" applyNumberFormat="1">
      <alignment horizontal="right" vertical="bottom"/>
    </xf>
    <xf borderId="5" fillId="63" fontId="6" numFmtId="164" xfId="0" applyAlignment="1" applyBorder="1" applyFill="1" applyFont="1" applyNumberFormat="1">
      <alignment horizontal="right" vertical="bottom"/>
    </xf>
    <xf borderId="11" fillId="22" fontId="6" numFmtId="0" xfId="0" applyAlignment="1" applyBorder="1" applyFont="1">
      <alignment horizontal="right" vertical="bottom"/>
    </xf>
    <xf borderId="11" fillId="22" fontId="6" numFmtId="10" xfId="0" applyAlignment="1" applyBorder="1" applyFont="1" applyNumberFormat="1">
      <alignment horizontal="right" vertical="bottom"/>
    </xf>
    <xf borderId="4" fillId="3" fontId="2" numFmtId="165" xfId="0" applyAlignment="1" applyBorder="1" applyFont="1" applyNumberFormat="1">
      <alignment horizontal="center" readingOrder="0"/>
    </xf>
    <xf borderId="12" fillId="0" fontId="7" numFmtId="0" xfId="0" applyBorder="1" applyFont="1"/>
    <xf borderId="2" fillId="0" fontId="7" numFmtId="0" xfId="0" applyBorder="1" applyFont="1"/>
    <xf borderId="0" fillId="0" fontId="7" numFmtId="164" xfId="0" applyFont="1" applyNumberFormat="1"/>
    <xf borderId="3" fillId="0" fontId="7" numFmtId="0" xfId="0" applyBorder="1" applyFont="1"/>
    <xf borderId="3" fillId="0" fontId="7" numFmtId="10" xfId="0" applyBorder="1" applyFont="1" applyNumberFormat="1"/>
    <xf borderId="8" fillId="0" fontId="7" numFmtId="0" xfId="0" applyBorder="1" applyFont="1"/>
    <xf borderId="0" fillId="64" fontId="8" numFmtId="0" xfId="0" applyFill="1" applyFont="1"/>
    <xf borderId="0" fillId="0" fontId="9" numFmtId="0" xfId="0" applyFont="1"/>
    <xf borderId="0" fillId="64" fontId="10" numFmtId="0" xfId="0" applyAlignment="1" applyFont="1">
      <alignment horizontal="left" shrinkToFit="0" vertical="top" wrapText="1"/>
    </xf>
    <xf borderId="0" fillId="64" fontId="11" numFmtId="0" xfId="0" applyAlignment="1" applyFont="1">
      <alignment horizontal="left" shrinkToFit="0" vertical="top" wrapText="1"/>
    </xf>
    <xf borderId="13" fillId="65" fontId="12" numFmtId="0" xfId="0" applyAlignment="1" applyBorder="1" applyFill="1" applyFont="1">
      <alignment horizontal="left"/>
    </xf>
    <xf borderId="0" fillId="0" fontId="13" numFmtId="0" xfId="0" applyAlignment="1" applyFont="1">
      <alignment horizontal="left"/>
    </xf>
    <xf borderId="0" fillId="0" fontId="14" numFmtId="0" xfId="0" applyFont="1"/>
    <xf borderId="0" fillId="0" fontId="14" numFmtId="168" xfId="0" applyFont="1" applyNumberFormat="1"/>
    <xf borderId="0" fillId="0" fontId="14" numFmtId="169" xfId="0" applyFont="1" applyNumberFormat="1"/>
    <xf borderId="0" fillId="0" fontId="14" numFmtId="170" xfId="0" applyFont="1" applyNumberFormat="1"/>
    <xf borderId="0" fillId="0" fontId="15" numFmtId="0" xfId="0" applyFont="1"/>
    <xf borderId="0" fillId="0" fontId="15" numFmtId="168" xfId="0" applyFont="1" applyNumberFormat="1"/>
    <xf borderId="0" fillId="0" fontId="15" numFmtId="169" xfId="0" applyFont="1" applyNumberFormat="1"/>
    <xf borderId="0" fillId="0" fontId="15" numFmtId="170" xfId="0" applyFont="1" applyNumberFormat="1"/>
    <xf borderId="14" fillId="0" fontId="9" numFmtId="10" xfId="0" applyAlignment="1" applyBorder="1" applyFont="1" applyNumberFormat="1">
      <alignment readingOrder="0"/>
    </xf>
    <xf borderId="15" fillId="0" fontId="9" numFmtId="10" xfId="0" applyBorder="1" applyFont="1" applyNumberFormat="1"/>
    <xf borderId="14" fillId="0" fontId="9" numFmtId="166" xfId="0" applyBorder="1" applyFont="1" applyNumberFormat="1"/>
    <xf borderId="15" fillId="0" fontId="9" numFmtId="166" xfId="0" applyBorder="1" applyFont="1" applyNumberFormat="1"/>
    <xf borderId="15" fillId="0" fontId="9" numFmtId="164" xfId="0" applyAlignment="1" applyBorder="1" applyFont="1" applyNumberFormat="1">
      <alignment readingOrder="0"/>
    </xf>
    <xf borderId="15" fillId="0" fontId="9" numFmtId="164" xfId="0" applyBorder="1" applyFont="1" applyNumberFormat="1"/>
    <xf borderId="15" fillId="0" fontId="9" numFmtId="0" xfId="0" applyBorder="1" applyFont="1"/>
    <xf borderId="0" fillId="0" fontId="7" numFmtId="10" xfId="0" applyFont="1" applyNumberFormat="1"/>
    <xf borderId="15" fillId="0" fontId="9" numFmtId="0" xfId="0" applyBorder="1" applyFont="1"/>
    <xf borderId="16" fillId="0" fontId="9" numFmtId="0" xfId="0" applyBorder="1" applyFont="1"/>
    <xf borderId="17" fillId="0" fontId="9" numFmtId="10" xfId="0" applyAlignment="1" applyBorder="1" applyFont="1" applyNumberFormat="1">
      <alignment readingOrder="0"/>
    </xf>
    <xf borderId="18" fillId="0" fontId="9" numFmtId="10" xfId="0" applyBorder="1" applyFont="1" applyNumberFormat="1"/>
    <xf borderId="19" fillId="0" fontId="9" numFmtId="166" xfId="0" applyBorder="1" applyFont="1" applyNumberFormat="1"/>
    <xf borderId="20" fillId="0" fontId="9" numFmtId="166" xfId="0" applyBorder="1" applyFont="1" applyNumberFormat="1"/>
    <xf borderId="20" fillId="0" fontId="9" numFmtId="164" xfId="0" applyBorder="1" applyFont="1" applyNumberFormat="1"/>
    <xf borderId="20" fillId="0" fontId="9" numFmtId="164" xfId="0" applyAlignment="1" applyBorder="1" applyFont="1" applyNumberFormat="1">
      <alignment readingOrder="0"/>
    </xf>
    <xf borderId="20" fillId="0" fontId="9" numFmtId="0" xfId="0" applyBorder="1" applyFont="1"/>
    <xf borderId="21" fillId="0" fontId="9" numFmtId="0" xfId="0" applyBorder="1" applyFont="1"/>
    <xf borderId="22" fillId="0" fontId="9" numFmtId="10" xfId="0" applyAlignment="1" applyBorder="1" applyFont="1" applyNumberFormat="1">
      <alignment readingOrder="0"/>
    </xf>
    <xf borderId="7" fillId="0" fontId="9" numFmtId="10" xfId="0" applyBorder="1" applyFont="1" applyNumberFormat="1"/>
    <xf borderId="23" fillId="0" fontId="9" numFmtId="166" xfId="0" applyBorder="1" applyFont="1" applyNumberFormat="1"/>
    <xf borderId="24" fillId="0" fontId="9" numFmtId="166" xfId="0" applyBorder="1" applyFont="1" applyNumberFormat="1"/>
    <xf borderId="25" fillId="0" fontId="9" numFmtId="164" xfId="0" applyBorder="1" applyFont="1" applyNumberFormat="1"/>
    <xf borderId="24" fillId="0" fontId="9" numFmtId="164" xfId="0" applyBorder="1" applyFont="1" applyNumberFormat="1"/>
    <xf borderId="24" fillId="0" fontId="9" numFmtId="0" xfId="0" applyBorder="1" applyFont="1"/>
    <xf borderId="26" fillId="0" fontId="9" numFmtId="0" xfId="0" applyBorder="1" applyFont="1"/>
    <xf borderId="27" fillId="0" fontId="9" numFmtId="0" xfId="0" applyBorder="1" applyFont="1"/>
    <xf borderId="0" fillId="0" fontId="9" numFmtId="10" xfId="0" applyAlignment="1" applyFont="1" applyNumberFormat="1">
      <alignment readingOrder="0"/>
    </xf>
    <xf borderId="0" fillId="0" fontId="6" numFmtId="0" xfId="0" applyAlignment="1" applyFont="1">
      <alignment readingOrder="0"/>
    </xf>
    <xf borderId="17" fillId="0" fontId="6" numFmtId="166" xfId="0" applyAlignment="1" applyBorder="1" applyFont="1" applyNumberFormat="1">
      <alignment horizontal="right" vertical="bottom"/>
    </xf>
    <xf borderId="0" fillId="0" fontId="6" numFmtId="166" xfId="0" applyAlignment="1" applyFont="1" applyNumberFormat="1">
      <alignment horizontal="right" vertical="bottom"/>
    </xf>
    <xf borderId="0" fillId="0" fontId="9" numFmtId="164" xfId="0" applyFont="1" applyNumberFormat="1"/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3" fillId="0" fontId="9" numFmtId="166" xfId="0" applyAlignment="1" applyBorder="1" applyFont="1" applyNumberFormat="1">
      <alignment readingOrder="0"/>
    </xf>
    <xf borderId="0" fillId="0" fontId="6" numFmtId="171" xfId="0" applyAlignment="1" applyFont="1" applyNumberFormat="1">
      <alignment vertical="bottom"/>
    </xf>
    <xf borderId="17" fillId="0" fontId="9" numFmtId="166" xfId="0" applyBorder="1" applyFont="1" applyNumberFormat="1"/>
    <xf borderId="0" fillId="0" fontId="6" numFmtId="0" xfId="0" applyAlignment="1" applyFont="1">
      <alignment vertical="bottom"/>
    </xf>
    <xf borderId="0" fillId="0" fontId="9" numFmtId="0" xfId="0" applyAlignment="1" applyFont="1">
      <alignment readingOrder="0"/>
    </xf>
    <xf borderId="22" fillId="0" fontId="6" numFmtId="166" xfId="0" applyAlignment="1" applyBorder="1" applyFont="1" applyNumberFormat="1">
      <alignment horizontal="right" vertical="bottom"/>
    </xf>
    <xf borderId="26" fillId="0" fontId="6" numFmtId="166" xfId="0" applyAlignment="1" applyBorder="1" applyFont="1" applyNumberFormat="1">
      <alignment horizontal="right" vertical="bottom"/>
    </xf>
    <xf borderId="26" fillId="0" fontId="9" numFmtId="164" xfId="0" applyBorder="1" applyFont="1" applyNumberFormat="1"/>
    <xf borderId="26" fillId="0" fontId="6" numFmtId="164" xfId="0" applyAlignment="1" applyBorder="1" applyFont="1" applyNumberFormat="1">
      <alignment horizontal="right" vertical="bottom"/>
    </xf>
    <xf borderId="26" fillId="0" fontId="6" numFmtId="0" xfId="0" applyAlignment="1" applyBorder="1" applyFont="1">
      <alignment horizontal="right" vertical="bottom"/>
    </xf>
    <xf borderId="0" fillId="0" fontId="9" numFmtId="10" xfId="0" applyFont="1" applyNumberFormat="1"/>
    <xf borderId="0" fillId="0" fontId="6" numFmtId="10" xfId="0" applyAlignment="1" applyFont="1" applyNumberFormat="1">
      <alignment vertical="bottom"/>
    </xf>
    <xf borderId="28" fillId="0" fontId="6" numFmtId="166" xfId="0" applyAlignment="1" applyBorder="1" applyFont="1" applyNumberFormat="1">
      <alignment horizontal="right" vertical="bottom"/>
    </xf>
    <xf borderId="29" fillId="0" fontId="6" numFmtId="166" xfId="0" applyAlignment="1" applyBorder="1" applyFont="1" applyNumberFormat="1">
      <alignment horizontal="right" vertical="bottom"/>
    </xf>
    <xf borderId="29" fillId="0" fontId="6" numFmtId="164" xfId="0" applyAlignment="1" applyBorder="1" applyFont="1" applyNumberFormat="1">
      <alignment horizontal="right" vertical="bottom"/>
    </xf>
    <xf borderId="29" fillId="0" fontId="6" numFmtId="0" xfId="0" applyAlignment="1" applyBorder="1" applyFont="1">
      <alignment horizontal="right" vertical="bottom"/>
    </xf>
    <xf borderId="11" fillId="0" fontId="9" numFmtId="166" xfId="0" applyBorder="1" applyFont="1" applyNumberFormat="1"/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64" fontId="8" numFmtId="0" xfId="0" applyAlignment="1" applyFont="1">
      <alignment readingOrder="0"/>
    </xf>
    <xf borderId="30" fillId="0" fontId="9" numFmtId="10" xfId="0" applyAlignment="1" applyBorder="1" applyFont="1" applyNumberFormat="1">
      <alignment readingOrder="0"/>
    </xf>
    <xf borderId="0" fillId="0" fontId="6" numFmtId="0" xfId="0" applyAlignment="1" applyFont="1">
      <alignment readingOrder="0" vertical="bottom"/>
    </xf>
    <xf borderId="31" fillId="0" fontId="9" numFmtId="166" xfId="0" applyBorder="1" applyFont="1" applyNumberFormat="1"/>
    <xf borderId="32" fillId="0" fontId="9" numFmtId="164" xfId="0" applyAlignment="1" applyBorder="1" applyFont="1" applyNumberFormat="1">
      <alignment readingOrder="0"/>
    </xf>
    <xf borderId="33" fillId="0" fontId="9" numFmtId="164" xfId="0" applyBorder="1" applyFont="1" applyNumberFormat="1"/>
    <xf borderId="32" fillId="0" fontId="9" numFmtId="0" xfId="0" applyBorder="1" applyFont="1"/>
    <xf borderId="11" fillId="0" fontId="9" numFmtId="166" xfId="0" applyAlignment="1" applyBorder="1" applyFont="1" applyNumberFormat="1">
      <alignment readingOrder="0"/>
    </xf>
    <xf borderId="34" fillId="0" fontId="9" numFmtId="166" xfId="0" applyBorder="1" applyFont="1" applyNumberFormat="1"/>
    <xf borderId="35" fillId="0" fontId="9" numFmtId="164" xfId="0" applyAlignment="1" applyBorder="1" applyFont="1" applyNumberFormat="1">
      <alignment readingOrder="0"/>
    </xf>
    <xf borderId="0" fillId="0" fontId="9" numFmtId="0" xfId="0" applyFont="1"/>
    <xf borderId="9" fillId="0" fontId="9" numFmtId="166" xfId="0" applyBorder="1" applyFont="1" applyNumberFormat="1"/>
    <xf borderId="20" fillId="0" fontId="9" numFmtId="10" xfId="0" applyBorder="1" applyFont="1" applyNumberFormat="1"/>
    <xf borderId="18" fillId="0" fontId="7" numFmtId="0" xfId="0" applyBorder="1" applyFont="1"/>
    <xf borderId="2" fillId="0" fontId="9" numFmtId="166" xfId="0" applyBorder="1" applyFont="1" applyNumberFormat="1"/>
    <xf borderId="3" fillId="0" fontId="9" numFmtId="164" xfId="0" applyBorder="1" applyFont="1" applyNumberFormat="1"/>
    <xf borderId="0" fillId="0" fontId="7" numFmtId="171" xfId="0" applyAlignment="1" applyFont="1" applyNumberFormat="1">
      <alignment horizontal="left" readingOrder="0"/>
    </xf>
    <xf borderId="0" fillId="0" fontId="7" numFmtId="0" xfId="0" applyAlignment="1" applyFont="1">
      <alignment horizontal="left" readingOrder="0"/>
    </xf>
    <xf borderId="4" fillId="0" fontId="6" numFmtId="166" xfId="0" applyBorder="1" applyFont="1" applyNumberFormat="1"/>
    <xf borderId="5" fillId="0" fontId="6" numFmtId="164" xfId="0" applyBorder="1" applyFont="1" applyNumberFormat="1"/>
    <xf borderId="11" fillId="0" fontId="6" numFmtId="164" xfId="0" applyBorder="1" applyFont="1" applyNumberFormat="1"/>
    <xf borderId="5" fillId="0" fontId="6" numFmtId="0" xfId="0" applyBorder="1" applyFont="1"/>
    <xf borderId="0" fillId="0" fontId="7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Dashboard-style">
      <tableStyleElement dxfId="1" type="headerRow"/>
      <tableStyleElement dxfId="2" type="firstRowStripe"/>
      <tableStyleElement dxfId="3" type="secondRowStripe"/>
    </tableStyle>
    <tableStyle count="3" pivot="0" name="Dashboard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:H1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ashboar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H241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Dashboard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KfDrVcWOskZSHPhmuD6yrZ6Npr1AynOsBh7UwELvBg/edit?gid=61091455" TargetMode="External"/><Relationship Id="rId2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63"/>
    <col customWidth="1" min="4" max="4" width="14.88"/>
    <col customWidth="1" min="5" max="5" width="16.25"/>
    <col customWidth="1" min="6" max="6" width="1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>
      <c r="A2" s="9">
        <v>45965.0</v>
      </c>
      <c r="B2" s="10"/>
      <c r="C2" s="11"/>
      <c r="D2" s="11"/>
      <c r="E2" s="12"/>
      <c r="F2" s="13"/>
      <c r="G2" s="11"/>
      <c r="H2" s="14"/>
      <c r="I2" s="8"/>
      <c r="J2" s="8"/>
      <c r="K2" s="15" t="s">
        <v>8</v>
      </c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16" t="str">
        <f>IFERROR(__xludf.DUMMYFUNCTION("IFERROR(
  IMPORTRANGE(TRIM($A$1), ""'"" &amp; TRIM(A2) &amp; ""'!A282:h296""),
  """"
)"),"Sarah")</f>
        <v>Sarah</v>
      </c>
      <c r="B3" s="17"/>
      <c r="C3" s="18">
        <f>IFERROR(__xludf.DUMMYFUNCTION("""COMPUTED_VALUE"""),0.9294823529411764)</f>
        <v>0.9294823529</v>
      </c>
      <c r="D3" s="19">
        <f>IFERROR(__xludf.DUMMYFUNCTION("""COMPUTED_VALUE"""),0.5850116975011982)</f>
        <v>0.5850116975</v>
      </c>
      <c r="E3" s="20">
        <f>IFERROR(__xludf.DUMMYFUNCTION("""COMPUTED_VALUE"""),26431.14)</f>
        <v>26431.14</v>
      </c>
      <c r="F3" s="21">
        <f>IFERROR(__xludf.DUMMYFUNCTION("""COMPUTED_VALUE"""),30548.4)</f>
        <v>30548.4</v>
      </c>
      <c r="G3" s="22">
        <f>IFERROR(__xludf.DUMMYFUNCTION("""COMPUTED_VALUE"""),0.0)</f>
        <v>0</v>
      </c>
      <c r="H3" s="23">
        <f>IFERROR(__xludf.DUMMYFUNCTION("""COMPUTED_VALUE"""),0.5764705882352941)</f>
        <v>0.5764705882</v>
      </c>
      <c r="K3" s="24" t="s">
        <v>9</v>
      </c>
      <c r="L3" s="24">
        <v>60.0</v>
      </c>
      <c r="M3" s="25"/>
    </row>
    <row r="4">
      <c r="A4" s="26" t="str">
        <f>IFERROR(__xludf.DUMMYFUNCTION("""COMPUTED_VALUE"""),"Karen")</f>
        <v>Karen</v>
      </c>
      <c r="B4" s="27"/>
      <c r="C4" s="28">
        <f>IFERROR(__xludf.DUMMYFUNCTION("""COMPUTED_VALUE"""),0.765)</f>
        <v>0.765</v>
      </c>
      <c r="D4" s="29">
        <f>IFERROR(__xludf.DUMMYFUNCTION("""COMPUTED_VALUE"""),0.5478031111615761)</f>
        <v>0.5478031112</v>
      </c>
      <c r="E4" s="30">
        <f>IFERROR(__xludf.DUMMYFUNCTION("""COMPUTED_VALUE"""),17420.989999999998)</f>
        <v>17420.99</v>
      </c>
      <c r="F4" s="31">
        <f>IFERROR(__xludf.DUMMYFUNCTION("""COMPUTED_VALUE"""),22403.99)</f>
        <v>22403.99</v>
      </c>
      <c r="G4" s="32">
        <f>IFERROR(__xludf.DUMMYFUNCTION("""COMPUTED_VALUE"""),0.0)</f>
        <v>0</v>
      </c>
      <c r="H4" s="33">
        <f>IFERROR(__xludf.DUMMYFUNCTION("""COMPUTED_VALUE"""),0.5641025641025641)</f>
        <v>0.5641025641</v>
      </c>
      <c r="K4" s="34"/>
      <c r="L4" s="34"/>
      <c r="M4" s="34"/>
    </row>
    <row r="5">
      <c r="A5" s="35" t="str">
        <f>IFERROR(__xludf.DUMMYFUNCTION("""COMPUTED_VALUE"""),"Sam")</f>
        <v>Sam</v>
      </c>
      <c r="B5" s="36"/>
      <c r="C5" s="37">
        <f>IFERROR(__xludf.DUMMYFUNCTION("""COMPUTED_VALUE"""),0.9106964285714286)</f>
        <v>0.9106964286</v>
      </c>
      <c r="D5" s="38">
        <f>IFERROR(__xludf.DUMMYFUNCTION("""COMPUTED_VALUE"""),0.6065331929591686)</f>
        <v>0.606533193</v>
      </c>
      <c r="E5" s="39">
        <f>IFERROR(__xludf.DUMMYFUNCTION("""COMPUTED_VALUE"""),36822.34)</f>
        <v>36822.34</v>
      </c>
      <c r="F5" s="40">
        <f>IFERROR(__xludf.DUMMYFUNCTION("""COMPUTED_VALUE"""),48888.130000000005)</f>
        <v>48888.13</v>
      </c>
      <c r="G5" s="32">
        <f>IFERROR(__xludf.DUMMYFUNCTION("""COMPUTED_VALUE"""),1.0)</f>
        <v>1</v>
      </c>
      <c r="H5" s="33">
        <f>IFERROR(__xludf.DUMMYFUNCTION("""COMPUTED_VALUE"""),0.4485670864090317)</f>
        <v>0.4485670864</v>
      </c>
      <c r="K5" s="25"/>
      <c r="L5" s="25"/>
      <c r="M5" s="25"/>
    </row>
    <row r="6">
      <c r="A6" s="41" t="str">
        <f>IFERROR(__xludf.DUMMYFUNCTION("""COMPUTED_VALUE"""),"Sarah")</f>
        <v>Sarah</v>
      </c>
      <c r="B6" s="41" t="str">
        <f>IFERROR(__xludf.DUMMYFUNCTION("""COMPUTED_VALUE"""),"1511 Sylvan Lane                                                                                                                                                ")</f>
        <v>1511 Sylvan Lane                                                                                                                                                </v>
      </c>
      <c r="C6" s="42">
        <f>IFERROR(__xludf.DUMMYFUNCTION("""COMPUTED_VALUE"""),1.0)</f>
        <v>1</v>
      </c>
      <c r="D6" s="43">
        <f>IFERROR(__xludf.DUMMYFUNCTION("""COMPUTED_VALUE"""),0.7536305732484077)</f>
        <v>0.7536305732</v>
      </c>
      <c r="E6" s="44">
        <f>IFERROR(__xludf.DUMMYFUNCTION("""COMPUTED_VALUE"""),967.0)</f>
        <v>967</v>
      </c>
      <c r="F6" s="45">
        <f>IFERROR(__xludf.DUMMYFUNCTION("""COMPUTED_VALUE"""),967.0)</f>
        <v>967</v>
      </c>
      <c r="G6" s="46">
        <f>IFERROR(__xludf.DUMMYFUNCTION("""COMPUTED_VALUE"""),0.0)</f>
        <v>0</v>
      </c>
      <c r="H6" s="47">
        <f>IFERROR(__xludf.DUMMYFUNCTION("""COMPUTED_VALUE"""),0.75)</f>
        <v>0.75</v>
      </c>
      <c r="K6" s="34"/>
      <c r="L6" s="34"/>
      <c r="M6" s="34"/>
    </row>
    <row r="7">
      <c r="A7" s="41" t="str">
        <f>IFERROR(__xludf.DUMMYFUNCTION("""COMPUTED_VALUE"""),"Sarah")</f>
        <v>Sarah</v>
      </c>
      <c r="B7" s="48" t="str">
        <f>IFERROR(__xludf.DUMMYFUNCTION("""COMPUTED_VALUE"""),"3909 North Oakland Gravel Road                                                                                                                                                    ")</f>
        <v>3909 North Oakland Gravel Road                                                                                                                                                    </v>
      </c>
      <c r="C7" s="42">
        <f>IFERROR(__xludf.DUMMYFUNCTION("""COMPUTED_VALUE"""),0.667)</f>
        <v>0.667</v>
      </c>
      <c r="D7" s="43">
        <f>IFERROR(__xludf.DUMMYFUNCTION("""COMPUTED_VALUE"""),0.6513761467889908)</f>
        <v>0.6513761468</v>
      </c>
      <c r="E7" s="44">
        <f>IFERROR(__xludf.DUMMYFUNCTION("""COMPUTED_VALUE"""),950.0)</f>
        <v>950</v>
      </c>
      <c r="F7" s="45">
        <f>IFERROR(__xludf.DUMMYFUNCTION("""COMPUTED_VALUE"""),950.0)</f>
        <v>950</v>
      </c>
      <c r="G7" s="46">
        <f>IFERROR(__xludf.DUMMYFUNCTION("""COMPUTED_VALUE"""),0.0)</f>
        <v>0</v>
      </c>
      <c r="H7" s="47">
        <f>IFERROR(__xludf.DUMMYFUNCTION("""COMPUTED_VALUE"""),0.5)</f>
        <v>0.5</v>
      </c>
      <c r="K7" s="25"/>
      <c r="L7" s="25"/>
      <c r="M7" s="25"/>
    </row>
    <row r="8">
      <c r="A8" s="41" t="str">
        <f>IFERROR(__xludf.DUMMYFUNCTION("""COMPUTED_VALUE"""),"Sarah")</f>
        <v>Sarah</v>
      </c>
      <c r="B8" s="48" t="str">
        <f>IFERROR(__xludf.DUMMYFUNCTION("""COMPUTED_VALUE"""),"407 Pecan Street                                                                                                                                                  ")</f>
        <v>407 Pecan Street                                                                                                                                                  </v>
      </c>
      <c r="C8" s="42">
        <f>IFERROR(__xludf.DUMMYFUNCTION("""COMPUTED_VALUE"""),1.0)</f>
        <v>1</v>
      </c>
      <c r="D8" s="43">
        <f>IFERROR(__xludf.DUMMYFUNCTION("""COMPUTED_VALUE"""),0.40559440559440557)</f>
        <v>0.4055944056</v>
      </c>
      <c r="E8" s="44">
        <f>IFERROR(__xludf.DUMMYFUNCTION("""COMPUTED_VALUE"""),2125.0)</f>
        <v>2125</v>
      </c>
      <c r="F8" s="45">
        <f>IFERROR(__xludf.DUMMYFUNCTION("""COMPUTED_VALUE"""),2662.5)</f>
        <v>2662.5</v>
      </c>
      <c r="G8" s="46">
        <f>IFERROR(__xludf.DUMMYFUNCTION("""COMPUTED_VALUE"""),0.0)</f>
        <v>0</v>
      </c>
      <c r="H8" s="47">
        <f>IFERROR(__xludf.DUMMYFUNCTION("""COMPUTED_VALUE"""),0.6)</f>
        <v>0.6</v>
      </c>
      <c r="K8" s="34"/>
      <c r="L8" s="34"/>
      <c r="M8" s="34"/>
    </row>
    <row r="9">
      <c r="A9" s="41" t="str">
        <f>IFERROR(__xludf.DUMMYFUNCTION("""COMPUTED_VALUE"""),"Sarah")</f>
        <v>Sarah</v>
      </c>
      <c r="B9" s="48" t="str">
        <f>IFERROR(__xludf.DUMMYFUNCTION("""COMPUTED_VALUE"""),"801-803 Washington Avenue                                                                                                                                                      ")</f>
        <v>801-803 Washington Avenue                                                                                                                                                      </v>
      </c>
      <c r="C9" s="42">
        <f>IFERROR(__xludf.DUMMYFUNCTION("""COMPUTED_VALUE"""),1.0)</f>
        <v>1</v>
      </c>
      <c r="D9" s="43">
        <f>IFERROR(__xludf.DUMMYFUNCTION("""COMPUTED_VALUE"""),0.31)</f>
        <v>0.31</v>
      </c>
      <c r="E9" s="44">
        <f>IFERROR(__xludf.DUMMYFUNCTION("""COMPUTED_VALUE"""),966.0)</f>
        <v>966</v>
      </c>
      <c r="F9" s="45">
        <f>IFERROR(__xludf.DUMMYFUNCTION("""COMPUTED_VALUE"""),1212.01)</f>
        <v>1212.01</v>
      </c>
      <c r="G9" s="46">
        <f>IFERROR(__xludf.DUMMYFUNCTION("""COMPUTED_VALUE"""),0.0)</f>
        <v>0</v>
      </c>
      <c r="H9" s="47">
        <f>IFERROR(__xludf.DUMMYFUNCTION("""COMPUTED_VALUE"""),1.0)</f>
        <v>1</v>
      </c>
    </row>
    <row r="10">
      <c r="A10" s="41" t="str">
        <f>IFERROR(__xludf.DUMMYFUNCTION("""COMPUTED_VALUE"""),"Sarah")</f>
        <v>Sarah</v>
      </c>
      <c r="B10" s="48" t="str">
        <f>IFERROR(__xludf.DUMMYFUNCTION("""COMPUTED_VALUE"""),"811 South Fairview Road                                                                                                                                                    ")</f>
        <v>811 South Fairview Road                                                                                                                                                    </v>
      </c>
      <c r="C10" s="42">
        <f>IFERROR(__xludf.DUMMYFUNCTION("""COMPUTED_VALUE"""),1.0)</f>
        <v>1</v>
      </c>
      <c r="D10" s="43">
        <f>IFERROR(__xludf.DUMMYFUNCTION("""COMPUTED_VALUE"""),0.5)</f>
        <v>0.5</v>
      </c>
      <c r="E10" s="44">
        <f>IFERROR(__xludf.DUMMYFUNCTION("""COMPUTED_VALUE"""),1200.0)</f>
        <v>1200</v>
      </c>
      <c r="F10" s="45">
        <f>IFERROR(__xludf.DUMMYFUNCTION("""COMPUTED_VALUE"""),1200.0)</f>
        <v>1200</v>
      </c>
      <c r="G10" s="46">
        <f>IFERROR(__xludf.DUMMYFUNCTION("""COMPUTED_VALUE"""),0.0)</f>
        <v>0</v>
      </c>
      <c r="H10" s="47">
        <f>IFERROR(__xludf.DUMMYFUNCTION("""COMPUTED_VALUE"""),1.0)</f>
        <v>1</v>
      </c>
    </row>
    <row r="11">
      <c r="A11" s="49" t="str">
        <f>IFERROR(__xludf.DUMMYFUNCTION("""COMPUTED_VALUE"""),"Sarah")</f>
        <v>Sarah</v>
      </c>
      <c r="B11" s="48" t="str">
        <f>IFERROR(__xludf.DUMMYFUNCTION("""COMPUTED_VALUE"""),"Glen Oaks ")</f>
        <v>Glen Oaks </v>
      </c>
      <c r="C11" s="42">
        <f>IFERROR(__xludf.DUMMYFUNCTION("""COMPUTED_VALUE"""),0.889)</f>
        <v>0.889</v>
      </c>
      <c r="D11" s="43">
        <f>IFERROR(__xludf.DUMMYFUNCTION("""COMPUTED_VALUE"""),0.5988922916304158)</f>
        <v>0.5988922916</v>
      </c>
      <c r="E11" s="44">
        <f>IFERROR(__xludf.DUMMYFUNCTION("""COMPUTED_VALUE"""),11525.83)</f>
        <v>11525.83</v>
      </c>
      <c r="F11" s="45">
        <f>IFERROR(__xludf.DUMMYFUNCTION("""COMPUTED_VALUE"""),14294.02)</f>
        <v>14294.02</v>
      </c>
      <c r="G11" s="46">
        <f>IFERROR(__xludf.DUMMYFUNCTION("""COMPUTED_VALUE"""),0.0)</f>
        <v>0</v>
      </c>
      <c r="H11" s="47">
        <f>IFERROR(__xludf.DUMMYFUNCTION("""COMPUTED_VALUE"""),0.5)</f>
        <v>0.5</v>
      </c>
    </row>
    <row r="12">
      <c r="A12" s="41" t="str">
        <f>IFERROR(__xludf.DUMMYFUNCTION("""COMPUTED_VALUE"""),"Karen")</f>
        <v>Karen</v>
      </c>
      <c r="B12" s="48" t="str">
        <f>IFERROR(__xludf.DUMMYFUNCTION("""COMPUTED_VALUE"""),"Hilltop Townhomes ")</f>
        <v>Hilltop Townhomes </v>
      </c>
      <c r="C12" s="42">
        <f>IFERROR(__xludf.DUMMYFUNCTION("""COMPUTED_VALUE"""),0.765)</f>
        <v>0.765</v>
      </c>
      <c r="D12" s="43">
        <f>IFERROR(__xludf.DUMMYFUNCTION("""COMPUTED_VALUE"""),0.5478031111615761)</f>
        <v>0.5478031112</v>
      </c>
      <c r="E12" s="44">
        <f>IFERROR(__xludf.DUMMYFUNCTION("""COMPUTED_VALUE"""),17420.989999999998)</f>
        <v>17420.99</v>
      </c>
      <c r="F12" s="45">
        <f>IFERROR(__xludf.DUMMYFUNCTION("""COMPUTED_VALUE"""),22403.99)</f>
        <v>22403.99</v>
      </c>
      <c r="G12" s="46">
        <f>IFERROR(__xludf.DUMMYFUNCTION("""COMPUTED_VALUE"""),0.0)</f>
        <v>0</v>
      </c>
      <c r="H12" s="47">
        <f>IFERROR(__xludf.DUMMYFUNCTION("""COMPUTED_VALUE"""),0.5641025641025641)</f>
        <v>0.5641025641</v>
      </c>
    </row>
    <row r="13">
      <c r="A13" s="41" t="str">
        <f>IFERROR(__xludf.DUMMYFUNCTION("""COMPUTED_VALUE"""),"Sam")</f>
        <v>Sam</v>
      </c>
      <c r="B13" s="48" t="str">
        <f>IFERROR(__xludf.DUMMYFUNCTION("""COMPUTED_VALUE"""),"Maple Manor Apartments                                                                                                                                             ")</f>
        <v>Maple Manor Apartments                                                                                                                                             </v>
      </c>
      <c r="C13" s="42">
        <f>IFERROR(__xludf.DUMMYFUNCTION("""COMPUTED_VALUE"""),0.875)</f>
        <v>0.875</v>
      </c>
      <c r="D13" s="43">
        <f>IFERROR(__xludf.DUMMYFUNCTION("""COMPUTED_VALUE"""),0.33022305498981674)</f>
        <v>0.330223055</v>
      </c>
      <c r="E13" s="44">
        <f>IFERROR(__xludf.DUMMYFUNCTION("""COMPUTED_VALUE"""),20553.78)</f>
        <v>20553.78</v>
      </c>
      <c r="F13" s="45">
        <f>IFERROR(__xludf.DUMMYFUNCTION("""COMPUTED_VALUE"""),26256.37)</f>
        <v>26256.37</v>
      </c>
      <c r="G13" s="46">
        <f>IFERROR(__xludf.DUMMYFUNCTION("""COMPUTED_VALUE"""),1.0)</f>
        <v>1</v>
      </c>
      <c r="H13" s="47">
        <f>IFERROR(__xludf.DUMMYFUNCTION("""COMPUTED_VALUE"""),0.3142857142857143)</f>
        <v>0.3142857143</v>
      </c>
    </row>
    <row r="14">
      <c r="A14" s="41" t="str">
        <f>IFERROR(__xludf.DUMMYFUNCTION("""COMPUTED_VALUE"""),"Sam")</f>
        <v>Sam</v>
      </c>
      <c r="B14" s="48" t="str">
        <f>IFERROR(__xludf.DUMMYFUNCTION("""COMPUTED_VALUE"""),"Normandy Apartments")</f>
        <v>Normandy Apartments</v>
      </c>
      <c r="C14" s="42">
        <f>IFERROR(__xludf.DUMMYFUNCTION("""COMPUTED_VALUE"""),0.909)</f>
        <v>0.909</v>
      </c>
      <c r="D14" s="43">
        <f>IFERROR(__xludf.DUMMYFUNCTION("""COMPUTED_VALUE"""),0.720297100220451)</f>
        <v>0.7202971002</v>
      </c>
      <c r="E14" s="44">
        <f>IFERROR(__xludf.DUMMYFUNCTION("""COMPUTED_VALUE"""),3863.52)</f>
        <v>3863.52</v>
      </c>
      <c r="F14" s="45">
        <f>IFERROR(__xludf.DUMMYFUNCTION("""COMPUTED_VALUE"""),4383.52)</f>
        <v>4383.52</v>
      </c>
      <c r="G14" s="46">
        <f>IFERROR(__xludf.DUMMYFUNCTION("""COMPUTED_VALUE"""),0.0)</f>
        <v>0</v>
      </c>
      <c r="H14" s="47">
        <f>IFERROR(__xludf.DUMMYFUNCTION("""COMPUTED_VALUE"""),0.6)</f>
        <v>0.6</v>
      </c>
    </row>
    <row r="15">
      <c r="A15" s="41" t="str">
        <f>IFERROR(__xludf.DUMMYFUNCTION("""COMPUTED_VALUE"""),"Sam")</f>
        <v>Sam</v>
      </c>
      <c r="B15" s="48" t="str">
        <f>IFERROR(__xludf.DUMMYFUNCTION("""COMPUTED_VALUE"""),"Oakwood Gardens ")</f>
        <v>Oakwood Gardens </v>
      </c>
      <c r="C15" s="42">
        <f>IFERROR(__xludf.DUMMYFUNCTION("""COMPUTED_VALUE"""),0.94)</f>
        <v>0.94</v>
      </c>
      <c r="D15" s="43">
        <f>IFERROR(__xludf.DUMMYFUNCTION("""COMPUTED_VALUE"""),0.7775251841396861)</f>
        <v>0.7775251841</v>
      </c>
      <c r="E15" s="44">
        <f>IFERROR(__xludf.DUMMYFUNCTION("""COMPUTED_VALUE"""),12405.039999999999)</f>
        <v>12405.04</v>
      </c>
      <c r="F15" s="45">
        <f>IFERROR(__xludf.DUMMYFUNCTION("""COMPUTED_VALUE"""),18248.24)</f>
        <v>18248.24</v>
      </c>
      <c r="G15" s="46">
        <f>IFERROR(__xludf.DUMMYFUNCTION("""COMPUTED_VALUE"""),0.0)</f>
        <v>0</v>
      </c>
      <c r="H15" s="47">
        <f>IFERROR(__xludf.DUMMYFUNCTION("""COMPUTED_VALUE"""),0.48936170212765956)</f>
        <v>0.4893617021</v>
      </c>
    </row>
    <row r="16">
      <c r="A16" s="49" t="str">
        <f>IFERROR(__xludf.DUMMYFUNCTION("""COMPUTED_VALUE"""),"Sarah")</f>
        <v>Sarah</v>
      </c>
      <c r="B16" s="48" t="str">
        <f>IFERROR(__xludf.DUMMYFUNCTION("""COMPUTED_VALUE"""),"Pioneer Apartments ")</f>
        <v>Pioneer Apartments </v>
      </c>
      <c r="C16" s="42">
        <f>IFERROR(__xludf.DUMMYFUNCTION("""COMPUTED_VALUE"""),1.0)</f>
        <v>1</v>
      </c>
      <c r="D16" s="43">
        <f>IFERROR(__xludf.DUMMYFUNCTION("""COMPUTED_VALUE"""),0.5865040195735757)</f>
        <v>0.5865040196</v>
      </c>
      <c r="E16" s="44">
        <f>IFERROR(__xludf.DUMMYFUNCTION("""COMPUTED_VALUE"""),8697.31)</f>
        <v>8697.31</v>
      </c>
      <c r="F16" s="45">
        <f>IFERROR(__xludf.DUMMYFUNCTION("""COMPUTED_VALUE"""),9262.87)</f>
        <v>9262.87</v>
      </c>
      <c r="G16" s="46">
        <f>IFERROR(__xludf.DUMMYFUNCTION("""COMPUTED_VALUE"""),0.0)</f>
        <v>0</v>
      </c>
      <c r="H16" s="47">
        <f>IFERROR(__xludf.DUMMYFUNCTION("""COMPUTED_VALUE"""),0.6)</f>
        <v>0.6</v>
      </c>
    </row>
    <row r="17">
      <c r="A17" s="50"/>
      <c r="B17" s="51"/>
      <c r="C17" s="52">
        <f>IFERROR(__xludf.DUMMYFUNCTION("""COMPUTED_VALUE"""),0.8872775665399238)</f>
        <v>0.8872775665</v>
      </c>
      <c r="D17" s="53">
        <f>IFERROR(__xludf.DUMMYFUNCTION("""COMPUTED_VALUE"""),0.6167425348033794)</f>
        <v>0.6167425348</v>
      </c>
      <c r="E17" s="54">
        <f>IFERROR(__xludf.DUMMYFUNCTION("""COMPUTED_VALUE"""),80674.46999999999)</f>
        <v>80674.47</v>
      </c>
      <c r="F17" s="54">
        <f>IFERROR(__xludf.DUMMYFUNCTION("""COMPUTED_VALUE"""),101840.52)</f>
        <v>101840.52</v>
      </c>
      <c r="G17" s="55">
        <f>IFERROR(__xludf.DUMMYFUNCTION("""COMPUTED_VALUE"""),1.0)</f>
        <v>1</v>
      </c>
      <c r="H17" s="56">
        <f>IFERROR(__xludf.DUMMYFUNCTION("""COMPUTED_VALUE"""),0.5181818181818182)</f>
        <v>0.5181818182</v>
      </c>
    </row>
    <row r="18">
      <c r="A18" s="9">
        <v>45971.0</v>
      </c>
      <c r="B18" s="10"/>
      <c r="C18" s="11"/>
      <c r="D18" s="11"/>
      <c r="E18" s="12"/>
      <c r="F18" s="13"/>
      <c r="G18" s="11"/>
      <c r="H18" s="14"/>
    </row>
    <row r="19">
      <c r="A19" s="35" t="str">
        <f>IFERROR(__xludf.DUMMYFUNCTION("IFERROR(
  IMPORTRANGE(TRIM($A$1), ""'"" &amp; TRIM(A18) &amp; ""'!A282:h296""),
  """"
)"),"Sarah")</f>
        <v>Sarah</v>
      </c>
      <c r="B19" s="36"/>
      <c r="C19" s="57">
        <f>IFERROR(__xludf.DUMMYFUNCTION("""COMPUTED_VALUE"""),0.9294823529411764)</f>
        <v>0.9294823529</v>
      </c>
      <c r="D19" s="58">
        <f>IFERROR(__xludf.DUMMYFUNCTION("""COMPUTED_VALUE"""),0.8814797681300447)</f>
        <v>0.8814797681</v>
      </c>
      <c r="E19" s="59">
        <f>IFERROR(__xludf.DUMMYFUNCTION("""COMPUTED_VALUE"""),7640.76)</f>
        <v>7640.76</v>
      </c>
      <c r="F19" s="60">
        <f>IFERROR(__xludf.DUMMYFUNCTION("""COMPUTED_VALUE"""),10885.83)</f>
        <v>10885.83</v>
      </c>
      <c r="G19" s="32">
        <f>IFERROR(__xludf.DUMMYFUNCTION("""COMPUTED_VALUE"""),0.0)</f>
        <v>0</v>
      </c>
      <c r="H19" s="23">
        <f>IFERROR(__xludf.DUMMYFUNCTION("""COMPUTED_VALUE"""),0.5764705882352941)</f>
        <v>0.5764705882</v>
      </c>
    </row>
    <row r="20">
      <c r="A20" s="26" t="str">
        <f>IFERROR(__xludf.DUMMYFUNCTION("""COMPUTED_VALUE"""),"Karen")</f>
        <v>Karen</v>
      </c>
      <c r="B20" s="27"/>
      <c r="C20" s="28">
        <f>IFERROR(__xludf.DUMMYFUNCTION("""COMPUTED_VALUE"""),0.745)</f>
        <v>0.745</v>
      </c>
      <c r="D20" s="29">
        <f>IFERROR(__xludf.DUMMYFUNCTION("""COMPUTED_VALUE"""),0.7255280074531268)</f>
        <v>0.7255280075</v>
      </c>
      <c r="E20" s="30">
        <f>IFERROR(__xludf.DUMMYFUNCTION("""COMPUTED_VALUE"""),9535.029999999999)</f>
        <v>9535.03</v>
      </c>
      <c r="F20" s="31">
        <f>IFERROR(__xludf.DUMMYFUNCTION("""COMPUTED_VALUE"""),14033.88)</f>
        <v>14033.88</v>
      </c>
      <c r="G20" s="32">
        <f>IFERROR(__xludf.DUMMYFUNCTION("""COMPUTED_VALUE"""),0.0)</f>
        <v>0</v>
      </c>
      <c r="H20" s="33">
        <f>IFERROR(__xludf.DUMMYFUNCTION("""COMPUTED_VALUE"""),0.6052631578947368)</f>
        <v>0.6052631579</v>
      </c>
    </row>
    <row r="21">
      <c r="A21" s="35" t="str">
        <f>IFERROR(__xludf.DUMMYFUNCTION("""COMPUTED_VALUE"""),"Sam")</f>
        <v>Sam</v>
      </c>
      <c r="B21" s="36"/>
      <c r="C21" s="37">
        <f>IFERROR(__xludf.DUMMYFUNCTION("""COMPUTED_VALUE"""),0.9106964285714286)</f>
        <v>0.9106964286</v>
      </c>
      <c r="D21" s="38">
        <f>IFERROR(__xludf.DUMMYFUNCTION("""COMPUTED_VALUE"""),0.8685146372118134)</f>
        <v>0.8685146372</v>
      </c>
      <c r="E21" s="39">
        <f>IFERROR(__xludf.DUMMYFUNCTION("""COMPUTED_VALUE"""),12259.68)</f>
        <v>12259.68</v>
      </c>
      <c r="F21" s="40">
        <f>IFERROR(__xludf.DUMMYFUNCTION("""COMPUTED_VALUE"""),21853.980000000003)</f>
        <v>21853.98</v>
      </c>
      <c r="G21" s="32">
        <f>IFERROR(__xludf.DUMMYFUNCTION("""COMPUTED_VALUE"""),1.0)</f>
        <v>1</v>
      </c>
      <c r="H21" s="33">
        <f>IFERROR(__xludf.DUMMYFUNCTION("""COMPUTED_VALUE"""),0.46982401656314693)</f>
        <v>0.4698240166</v>
      </c>
    </row>
    <row r="22">
      <c r="A22" s="41" t="str">
        <f>IFERROR(__xludf.DUMMYFUNCTION("""COMPUTED_VALUE"""),"Sarah")</f>
        <v>Sarah</v>
      </c>
      <c r="B22" s="41" t="str">
        <f>IFERROR(__xludf.DUMMYFUNCTION("""COMPUTED_VALUE"""),"1511 Sylvan Lane                                                                                                                                                ")</f>
        <v>1511 Sylvan Lane                                                                                                                                                </v>
      </c>
      <c r="C22" s="42">
        <f>IFERROR(__xludf.DUMMYFUNCTION("""COMPUTED_VALUE"""),1.0)</f>
        <v>1</v>
      </c>
      <c r="D22" s="43">
        <f>IFERROR(__xludf.DUMMYFUNCTION("""COMPUTED_VALUE"""),1.0020382165605095)</f>
        <v>1.002038217</v>
      </c>
      <c r="E22" s="44">
        <f>IFERROR(__xludf.DUMMYFUNCTION("""COMPUTED_VALUE"""),-8.0)</f>
        <v>-8</v>
      </c>
      <c r="F22" s="45">
        <f>IFERROR(__xludf.DUMMYFUNCTION("""COMPUTED_VALUE"""),-8.0)</f>
        <v>-8</v>
      </c>
      <c r="G22" s="46">
        <f>IFERROR(__xludf.DUMMYFUNCTION("""COMPUTED_VALUE"""),0.0)</f>
        <v>0</v>
      </c>
      <c r="H22" s="47">
        <f>IFERROR(__xludf.DUMMYFUNCTION("""COMPUTED_VALUE"""),0.75)</f>
        <v>0.75</v>
      </c>
    </row>
    <row r="23">
      <c r="A23" s="41" t="str">
        <f>IFERROR(__xludf.DUMMYFUNCTION("""COMPUTED_VALUE"""),"Sarah")</f>
        <v>Sarah</v>
      </c>
      <c r="B23" s="48" t="str">
        <f>IFERROR(__xludf.DUMMYFUNCTION("""COMPUTED_VALUE"""),"3909 North Oakland Gravel Road                                                                                                                                                    ")</f>
        <v>3909 North Oakland Gravel Road                                                                                                                                                    </v>
      </c>
      <c r="C23" s="42">
        <f>IFERROR(__xludf.DUMMYFUNCTION("""COMPUTED_VALUE"""),0.667)</f>
        <v>0.667</v>
      </c>
      <c r="D23" s="43">
        <f>IFERROR(__xludf.DUMMYFUNCTION("""COMPUTED_VALUE"""),1.0)</f>
        <v>1</v>
      </c>
      <c r="E23" s="44">
        <f>IFERROR(__xludf.DUMMYFUNCTION("""COMPUTED_VALUE"""),0.0)</f>
        <v>0</v>
      </c>
      <c r="F23" s="45">
        <f>IFERROR(__xludf.DUMMYFUNCTION("""COMPUTED_VALUE"""),0.0)</f>
        <v>0</v>
      </c>
      <c r="G23" s="46">
        <f>IFERROR(__xludf.DUMMYFUNCTION("""COMPUTED_VALUE"""),0.0)</f>
        <v>0</v>
      </c>
      <c r="H23" s="47">
        <f>IFERROR(__xludf.DUMMYFUNCTION("""COMPUTED_VALUE"""),0.5)</f>
        <v>0.5</v>
      </c>
    </row>
    <row r="24">
      <c r="A24" s="41" t="str">
        <f>IFERROR(__xludf.DUMMYFUNCTION("""COMPUTED_VALUE"""),"Sarah")</f>
        <v>Sarah</v>
      </c>
      <c r="B24" s="48" t="str">
        <f>IFERROR(__xludf.DUMMYFUNCTION("""COMPUTED_VALUE"""),"407 Pecan Street                                                                                                                                                  ")</f>
        <v>407 Pecan Street                                                                                                                                                  </v>
      </c>
      <c r="C24" s="42">
        <f>IFERROR(__xludf.DUMMYFUNCTION("""COMPUTED_VALUE"""),1.0)</f>
        <v>1</v>
      </c>
      <c r="D24" s="43">
        <f>IFERROR(__xludf.DUMMYFUNCTION("""COMPUTED_VALUE"""),0.6293706293706294)</f>
        <v>0.6293706294</v>
      </c>
      <c r="E24" s="44">
        <f>IFERROR(__xludf.DUMMYFUNCTION("""COMPUTED_VALUE"""),1325.0)</f>
        <v>1325</v>
      </c>
      <c r="F24" s="45">
        <f>IFERROR(__xludf.DUMMYFUNCTION("""COMPUTED_VALUE"""),1991.25)</f>
        <v>1991.25</v>
      </c>
      <c r="G24" s="46">
        <f>IFERROR(__xludf.DUMMYFUNCTION("""COMPUTED_VALUE"""),0.0)</f>
        <v>0</v>
      </c>
      <c r="H24" s="47">
        <f>IFERROR(__xludf.DUMMYFUNCTION("""COMPUTED_VALUE"""),0.6)</f>
        <v>0.6</v>
      </c>
    </row>
    <row r="25">
      <c r="A25" s="41" t="str">
        <f>IFERROR(__xludf.DUMMYFUNCTION("""COMPUTED_VALUE"""),"Sarah")</f>
        <v>Sarah</v>
      </c>
      <c r="B25" s="48" t="str">
        <f>IFERROR(__xludf.DUMMYFUNCTION("""COMPUTED_VALUE"""),"801-803 Washington Avenue                                                                                                                                                      ")</f>
        <v>801-803 Washington Avenue                                                                                                                                                      </v>
      </c>
      <c r="C25" s="42">
        <f>IFERROR(__xludf.DUMMYFUNCTION("""COMPUTED_VALUE"""),1.0)</f>
        <v>1</v>
      </c>
      <c r="D25" s="43">
        <f>IFERROR(__xludf.DUMMYFUNCTION("""COMPUTED_VALUE"""),0.2781071428571429)</f>
        <v>0.2781071429</v>
      </c>
      <c r="E25" s="44">
        <f>IFERROR(__xludf.DUMMYFUNCTION("""COMPUTED_VALUE"""),1010.65)</f>
        <v>1010.65</v>
      </c>
      <c r="F25" s="45">
        <f>IFERROR(__xludf.DUMMYFUNCTION("""COMPUTED_VALUE"""),1319.16)</f>
        <v>1319.16</v>
      </c>
      <c r="G25" s="46">
        <f>IFERROR(__xludf.DUMMYFUNCTION("""COMPUTED_VALUE"""),0.0)</f>
        <v>0</v>
      </c>
      <c r="H25" s="47">
        <f>IFERROR(__xludf.DUMMYFUNCTION("""COMPUTED_VALUE"""),1.0)</f>
        <v>1</v>
      </c>
    </row>
    <row r="26">
      <c r="A26" s="41" t="str">
        <f>IFERROR(__xludf.DUMMYFUNCTION("""COMPUTED_VALUE"""),"Sarah")</f>
        <v>Sarah</v>
      </c>
      <c r="B26" s="48" t="str">
        <f>IFERROR(__xludf.DUMMYFUNCTION("""COMPUTED_VALUE"""),"811 South Fairview Road                                                                                                                                                    ")</f>
        <v>811 South Fairview Road                                                                                                                                                    </v>
      </c>
      <c r="C26" s="42">
        <f>IFERROR(__xludf.DUMMYFUNCTION("""COMPUTED_VALUE"""),1.0)</f>
        <v>1</v>
      </c>
      <c r="D26" s="43">
        <f>IFERROR(__xludf.DUMMYFUNCTION("""COMPUTED_VALUE"""),1.0)</f>
        <v>1</v>
      </c>
      <c r="E26" s="44">
        <f>IFERROR(__xludf.DUMMYFUNCTION("""COMPUTED_VALUE"""),0.0)</f>
        <v>0</v>
      </c>
      <c r="F26" s="45">
        <f>IFERROR(__xludf.DUMMYFUNCTION("""COMPUTED_VALUE"""),0.0)</f>
        <v>0</v>
      </c>
      <c r="G26" s="46">
        <f>IFERROR(__xludf.DUMMYFUNCTION("""COMPUTED_VALUE"""),0.0)</f>
        <v>0</v>
      </c>
      <c r="H26" s="47">
        <f>IFERROR(__xludf.DUMMYFUNCTION("""COMPUTED_VALUE"""),1.0)</f>
        <v>1</v>
      </c>
    </row>
    <row r="27">
      <c r="A27" s="49" t="str">
        <f>IFERROR(__xludf.DUMMYFUNCTION("""COMPUTED_VALUE"""),"Sarah")</f>
        <v>Sarah</v>
      </c>
      <c r="B27" s="48" t="str">
        <f>IFERROR(__xludf.DUMMYFUNCTION("""COMPUTED_VALUE"""),"Glen Oaks ")</f>
        <v>Glen Oaks </v>
      </c>
      <c r="C27" s="42">
        <f>IFERROR(__xludf.DUMMYFUNCTION("""COMPUTED_VALUE"""),0.889)</f>
        <v>0.889</v>
      </c>
      <c r="D27" s="43">
        <f>IFERROR(__xludf.DUMMYFUNCTION("""COMPUTED_VALUE"""),0.8580796937532625)</f>
        <v>0.8580796938</v>
      </c>
      <c r="E27" s="44">
        <f>IFERROR(__xludf.DUMMYFUNCTION("""COMPUTED_VALUE"""),4078.08)</f>
        <v>4078.08</v>
      </c>
      <c r="F27" s="45">
        <f>IFERROR(__xludf.DUMMYFUNCTION("""COMPUTED_VALUE"""),6318.82)</f>
        <v>6318.82</v>
      </c>
      <c r="G27" s="46">
        <f>IFERROR(__xludf.DUMMYFUNCTION("""COMPUTED_VALUE"""),0.0)</f>
        <v>0</v>
      </c>
      <c r="H27" s="47">
        <f>IFERROR(__xludf.DUMMYFUNCTION("""COMPUTED_VALUE"""),0.5)</f>
        <v>0.5</v>
      </c>
    </row>
    <row r="28">
      <c r="A28" s="41" t="str">
        <f>IFERROR(__xludf.DUMMYFUNCTION("""COMPUTED_VALUE"""),"Karen")</f>
        <v>Karen</v>
      </c>
      <c r="B28" s="48" t="str">
        <f>IFERROR(__xludf.DUMMYFUNCTION("""COMPUTED_VALUE"""),"Hilltop Townhomes ")</f>
        <v>Hilltop Townhomes </v>
      </c>
      <c r="C28" s="42">
        <f>IFERROR(__xludf.DUMMYFUNCTION("""COMPUTED_VALUE"""),0.745)</f>
        <v>0.745</v>
      </c>
      <c r="D28" s="43">
        <f>IFERROR(__xludf.DUMMYFUNCTION("""COMPUTED_VALUE"""),0.7255280074531268)</f>
        <v>0.7255280075</v>
      </c>
      <c r="E28" s="44">
        <f>IFERROR(__xludf.DUMMYFUNCTION("""COMPUTED_VALUE"""),9535.029999999999)</f>
        <v>9535.03</v>
      </c>
      <c r="F28" s="45">
        <f>IFERROR(__xludf.DUMMYFUNCTION("""COMPUTED_VALUE"""),14033.88)</f>
        <v>14033.88</v>
      </c>
      <c r="G28" s="46">
        <f>IFERROR(__xludf.DUMMYFUNCTION("""COMPUTED_VALUE"""),0.0)</f>
        <v>0</v>
      </c>
      <c r="H28" s="47">
        <f>IFERROR(__xludf.DUMMYFUNCTION("""COMPUTED_VALUE"""),0.6052631578947368)</f>
        <v>0.6052631579</v>
      </c>
    </row>
    <row r="29">
      <c r="A29" s="41" t="str">
        <f>IFERROR(__xludf.DUMMYFUNCTION("""COMPUTED_VALUE"""),"Sam")</f>
        <v>Sam</v>
      </c>
      <c r="B29" s="48" t="str">
        <f>IFERROR(__xludf.DUMMYFUNCTION("""COMPUTED_VALUE"""),"Maple Manor Apartments                                                                                                                                             ")</f>
        <v>Maple Manor Apartments                                                                                                                                             </v>
      </c>
      <c r="C29" s="42">
        <f>IFERROR(__xludf.DUMMYFUNCTION("""COMPUTED_VALUE"""),0.9)</f>
        <v>0.9</v>
      </c>
      <c r="D29" s="43">
        <f>IFERROR(__xludf.DUMMYFUNCTION("""COMPUTED_VALUE"""),0.7842950347261571)</f>
        <v>0.7842950347</v>
      </c>
      <c r="E29" s="44">
        <f>IFERROR(__xludf.DUMMYFUNCTION("""COMPUTED_VALUE"""),6661.94)</f>
        <v>6661.94</v>
      </c>
      <c r="F29" s="45">
        <f>IFERROR(__xludf.DUMMYFUNCTION("""COMPUTED_VALUE"""),11681.19)</f>
        <v>11681.19</v>
      </c>
      <c r="G29" s="46">
        <f>IFERROR(__xludf.DUMMYFUNCTION("""COMPUTED_VALUE"""),1.0)</f>
        <v>1</v>
      </c>
      <c r="H29" s="47">
        <f>IFERROR(__xludf.DUMMYFUNCTION("""COMPUTED_VALUE"""),0.3333333333333333)</f>
        <v>0.3333333333</v>
      </c>
    </row>
    <row r="30">
      <c r="A30" s="41" t="str">
        <f>IFERROR(__xludf.DUMMYFUNCTION("""COMPUTED_VALUE"""),"Sam")</f>
        <v>Sam</v>
      </c>
      <c r="B30" s="48" t="str">
        <f>IFERROR(__xludf.DUMMYFUNCTION("""COMPUTED_VALUE"""),"Normandy Apartments")</f>
        <v>Normandy Apartments</v>
      </c>
      <c r="C30" s="42">
        <f>IFERROR(__xludf.DUMMYFUNCTION("""COMPUTED_VALUE"""),0.909)</f>
        <v>0.909</v>
      </c>
      <c r="D30" s="43">
        <f>IFERROR(__xludf.DUMMYFUNCTION("""COMPUTED_VALUE"""),0.9106945194598888)</f>
        <v>0.9106945195</v>
      </c>
      <c r="E30" s="44">
        <f>IFERROR(__xludf.DUMMYFUNCTION("""COMPUTED_VALUE"""),1091.52)</f>
        <v>1091.52</v>
      </c>
      <c r="F30" s="45">
        <f>IFERROR(__xludf.DUMMYFUNCTION("""COMPUTED_VALUE"""),1719.37)</f>
        <v>1719.37</v>
      </c>
      <c r="G30" s="46">
        <f>IFERROR(__xludf.DUMMYFUNCTION("""COMPUTED_VALUE"""),0.0)</f>
        <v>0</v>
      </c>
      <c r="H30" s="47">
        <f>IFERROR(__xludf.DUMMYFUNCTION("""COMPUTED_VALUE"""),0.6)</f>
        <v>0.6</v>
      </c>
    </row>
    <row r="31">
      <c r="A31" s="41" t="str">
        <f>IFERROR(__xludf.DUMMYFUNCTION("""COMPUTED_VALUE"""),"Sam")</f>
        <v>Sam</v>
      </c>
      <c r="B31" s="48" t="str">
        <f>IFERROR(__xludf.DUMMYFUNCTION("""COMPUTED_VALUE"""),"Oakwood Gardens ")</f>
        <v>Oakwood Gardens </v>
      </c>
      <c r="C31" s="42">
        <f>IFERROR(__xludf.DUMMYFUNCTION("""COMPUTED_VALUE"""),0.92)</f>
        <v>0.92</v>
      </c>
      <c r="D31" s="43">
        <f>IFERROR(__xludf.DUMMYFUNCTION("""COMPUTED_VALUE"""),0.9173311710111852)</f>
        <v>0.917331171</v>
      </c>
      <c r="E31" s="44">
        <f>IFERROR(__xludf.DUMMYFUNCTION("""COMPUTED_VALUE"""),4506.22)</f>
        <v>4506.22</v>
      </c>
      <c r="F31" s="45">
        <f>IFERROR(__xludf.DUMMYFUNCTION("""COMPUTED_VALUE"""),8453.42)</f>
        <v>8453.42</v>
      </c>
      <c r="G31" s="46">
        <f>IFERROR(__xludf.DUMMYFUNCTION("""COMPUTED_VALUE"""),0.0)</f>
        <v>0</v>
      </c>
      <c r="H31" s="47">
        <f>IFERROR(__xludf.DUMMYFUNCTION("""COMPUTED_VALUE"""),0.5217391304347826)</f>
        <v>0.5217391304</v>
      </c>
    </row>
    <row r="32">
      <c r="A32" s="49" t="str">
        <f>IFERROR(__xludf.DUMMYFUNCTION("""COMPUTED_VALUE"""),"Sarah")</f>
        <v>Sarah</v>
      </c>
      <c r="B32" s="48" t="str">
        <f>IFERROR(__xludf.DUMMYFUNCTION("""COMPUTED_VALUE"""),"Pioneer Apartments ")</f>
        <v>Pioneer Apartments </v>
      </c>
      <c r="C32" s="42">
        <f>IFERROR(__xludf.DUMMYFUNCTION("""COMPUTED_VALUE"""),1.0)</f>
        <v>1</v>
      </c>
      <c r="D32" s="43">
        <f>IFERROR(__xludf.DUMMYFUNCTION("""COMPUTED_VALUE"""),0.9441230339042295)</f>
        <v>0.9441230339</v>
      </c>
      <c r="E32" s="44">
        <f>IFERROR(__xludf.DUMMYFUNCTION("""COMPUTED_VALUE"""),1235.0300000000002)</f>
        <v>1235.03</v>
      </c>
      <c r="F32" s="45">
        <f>IFERROR(__xludf.DUMMYFUNCTION("""COMPUTED_VALUE"""),1264.6)</f>
        <v>1264.6</v>
      </c>
      <c r="G32" s="46">
        <f>IFERROR(__xludf.DUMMYFUNCTION("""COMPUTED_VALUE"""),0.0)</f>
        <v>0</v>
      </c>
      <c r="H32" s="47">
        <f>IFERROR(__xludf.DUMMYFUNCTION("""COMPUTED_VALUE"""),0.6)</f>
        <v>0.6</v>
      </c>
    </row>
    <row r="33">
      <c r="A33" s="50"/>
      <c r="B33" s="51"/>
      <c r="C33" s="52">
        <f>IFERROR(__xludf.DUMMYFUNCTION("""COMPUTED_VALUE"""),0.8833992395437262)</f>
        <v>0.8833992395</v>
      </c>
      <c r="D33" s="53">
        <f>IFERROR(__xludf.DUMMYFUNCTION("""COMPUTED_VALUE"""),0.8593883694757012)</f>
        <v>0.8593883695</v>
      </c>
      <c r="E33" s="54">
        <f>IFERROR(__xludf.DUMMYFUNCTION("""COMPUTED_VALUE"""),29435.469999999998)</f>
        <v>29435.47</v>
      </c>
      <c r="F33" s="54">
        <f>IFERROR(__xludf.DUMMYFUNCTION("""COMPUTED_VALUE"""),46773.69)</f>
        <v>46773.69</v>
      </c>
      <c r="G33" s="55">
        <f>IFERROR(__xludf.DUMMYFUNCTION("""COMPUTED_VALUE"""),1.0)</f>
        <v>1</v>
      </c>
      <c r="H33" s="56">
        <f>IFERROR(__xludf.DUMMYFUNCTION("""COMPUTED_VALUE"""),0.5342465753424658)</f>
        <v>0.5342465753</v>
      </c>
    </row>
    <row r="34">
      <c r="A34" s="9">
        <v>45978.0</v>
      </c>
      <c r="B34" s="10"/>
      <c r="C34" s="11"/>
      <c r="D34" s="11"/>
      <c r="E34" s="12"/>
      <c r="F34" s="13"/>
      <c r="G34" s="11"/>
      <c r="H34" s="14"/>
    </row>
    <row r="35">
      <c r="A35" s="35" t="str">
        <f>IFERROR(__xludf.DUMMYFUNCTION("IFERROR(
  IMPORTRANGE(TRIM($A$1), ""'"" &amp; TRIM(A34) &amp; ""'!A282:h296""),
  """"
)"),"Sarah")</f>
        <v>Sarah</v>
      </c>
      <c r="B35" s="36"/>
      <c r="C35" s="57">
        <f>IFERROR(__xludf.DUMMYFUNCTION("""COMPUTED_VALUE"""),0.9177176470588235)</f>
        <v>0.9177176471</v>
      </c>
      <c r="D35" s="58">
        <f>IFERROR(__xludf.DUMMYFUNCTION("""COMPUTED_VALUE"""),0.9078692336914139)</f>
        <v>0.9078692337</v>
      </c>
      <c r="E35" s="59">
        <f>IFERROR(__xludf.DUMMYFUNCTION("""COMPUTED_VALUE"""),5942.0)</f>
        <v>5942</v>
      </c>
      <c r="F35" s="60">
        <f>IFERROR(__xludf.DUMMYFUNCTION("""COMPUTED_VALUE"""),8496.49)</f>
        <v>8496.49</v>
      </c>
      <c r="G35" s="32">
        <f>IFERROR(__xludf.DUMMYFUNCTION("""COMPUTED_VALUE"""),0.0)</f>
        <v>0</v>
      </c>
      <c r="H35" s="23">
        <f>IFERROR(__xludf.DUMMYFUNCTION("""COMPUTED_VALUE"""),0.6220588235294118)</f>
        <v>0.6220588235</v>
      </c>
    </row>
    <row r="36">
      <c r="A36" s="26" t="str">
        <f>IFERROR(__xludf.DUMMYFUNCTION("""COMPUTED_VALUE"""),"Karen")</f>
        <v>Karen</v>
      </c>
      <c r="B36" s="27"/>
      <c r="C36" s="28">
        <f>IFERROR(__xludf.DUMMYFUNCTION("""COMPUTED_VALUE"""),0.706)</f>
        <v>0.706</v>
      </c>
      <c r="D36" s="29">
        <f>IFERROR(__xludf.DUMMYFUNCTION("""COMPUTED_VALUE"""),0.8107559545621106)</f>
        <v>0.8107559546</v>
      </c>
      <c r="E36" s="30">
        <f>IFERROR(__xludf.DUMMYFUNCTION("""COMPUTED_VALUE"""),5893.28)</f>
        <v>5893.28</v>
      </c>
      <c r="F36" s="31">
        <f>IFERROR(__xludf.DUMMYFUNCTION("""COMPUTED_VALUE"""),9600.13)</f>
        <v>9600.13</v>
      </c>
      <c r="G36" s="32">
        <f>IFERROR(__xludf.DUMMYFUNCTION("""COMPUTED_VALUE"""),1.0)</f>
        <v>1</v>
      </c>
      <c r="H36" s="33">
        <f>IFERROR(__xludf.DUMMYFUNCTION("""COMPUTED_VALUE"""),0.6944444444444444)</f>
        <v>0.6944444444</v>
      </c>
    </row>
    <row r="37">
      <c r="A37" s="35" t="str">
        <f>IFERROR(__xludf.DUMMYFUNCTION("""COMPUTED_VALUE"""),"Sam")</f>
        <v>Sam</v>
      </c>
      <c r="B37" s="36"/>
      <c r="C37" s="37">
        <f>IFERROR(__xludf.DUMMYFUNCTION("""COMPUTED_VALUE"""),0.8928392857142857)</f>
        <v>0.8928392857</v>
      </c>
      <c r="D37" s="38">
        <f>IFERROR(__xludf.DUMMYFUNCTION("""COMPUTED_VALUE"""),0.9211871528705979)</f>
        <v>0.9211871529</v>
      </c>
      <c r="E37" s="39">
        <f>IFERROR(__xludf.DUMMYFUNCTION("""COMPUTED_VALUE"""),6956.83)</f>
        <v>6956.83</v>
      </c>
      <c r="F37" s="40">
        <f>IFERROR(__xludf.DUMMYFUNCTION("""COMPUTED_VALUE"""),11092.83)</f>
        <v>11092.83</v>
      </c>
      <c r="G37" s="32">
        <f>IFERROR(__xludf.DUMMYFUNCTION("""COMPUTED_VALUE"""),1.0)</f>
        <v>1</v>
      </c>
      <c r="H37" s="33">
        <f>IFERROR(__xludf.DUMMYFUNCTION("""COMPUTED_VALUE"""),0.48860544217687074)</f>
        <v>0.4886054422</v>
      </c>
    </row>
    <row r="38">
      <c r="A38" s="41" t="str">
        <f>IFERROR(__xludf.DUMMYFUNCTION("""COMPUTED_VALUE"""),"Sarah")</f>
        <v>Sarah</v>
      </c>
      <c r="B38" s="41" t="str">
        <f>IFERROR(__xludf.DUMMYFUNCTION("""COMPUTED_VALUE"""),"1511 Sylvan Lane                                                                                                                                                ")</f>
        <v>1511 Sylvan Lane                                                                                                                                                </v>
      </c>
      <c r="C38" s="42">
        <f>IFERROR(__xludf.DUMMYFUNCTION("""COMPUTED_VALUE"""),1.0)</f>
        <v>1</v>
      </c>
      <c r="D38" s="43">
        <f>IFERROR(__xludf.DUMMYFUNCTION("""COMPUTED_VALUE"""),1.0020382165605095)</f>
        <v>1.002038217</v>
      </c>
      <c r="E38" s="44">
        <f>IFERROR(__xludf.DUMMYFUNCTION("""COMPUTED_VALUE"""),-8.0)</f>
        <v>-8</v>
      </c>
      <c r="F38" s="45">
        <f>IFERROR(__xludf.DUMMYFUNCTION("""COMPUTED_VALUE"""),-8.0)</f>
        <v>-8</v>
      </c>
      <c r="G38" s="46">
        <f>IFERROR(__xludf.DUMMYFUNCTION("""COMPUTED_VALUE"""),0.0)</f>
        <v>0</v>
      </c>
      <c r="H38" s="47">
        <f>IFERROR(__xludf.DUMMYFUNCTION("""COMPUTED_VALUE"""),0.75)</f>
        <v>0.75</v>
      </c>
    </row>
    <row r="39">
      <c r="A39" s="41" t="str">
        <f>IFERROR(__xludf.DUMMYFUNCTION("""COMPUTED_VALUE"""),"Sarah")</f>
        <v>Sarah</v>
      </c>
      <c r="B39" s="48" t="str">
        <f>IFERROR(__xludf.DUMMYFUNCTION("""COMPUTED_VALUE"""),"3909 North Oakland Gravel Road                                                                                                                                                    ")</f>
        <v>3909 North Oakland Gravel Road                                                                                                                                                    </v>
      </c>
      <c r="C39" s="42">
        <f>IFERROR(__xludf.DUMMYFUNCTION("""COMPUTED_VALUE"""),0.667)</f>
        <v>0.667</v>
      </c>
      <c r="D39" s="43">
        <f>IFERROR(__xludf.DUMMYFUNCTION("""COMPUTED_VALUE"""),0.959931506849315)</f>
        <v>0.9599315068</v>
      </c>
      <c r="E39" s="44">
        <f>IFERROR(__xludf.DUMMYFUNCTION("""COMPUTED_VALUE"""),146.25)</f>
        <v>146.25</v>
      </c>
      <c r="F39" s="45">
        <f>IFERROR(__xludf.DUMMYFUNCTION("""COMPUTED_VALUE"""),146.25)</f>
        <v>146.25</v>
      </c>
      <c r="G39" s="46">
        <f>IFERROR(__xludf.DUMMYFUNCTION("""COMPUTED_VALUE"""),0.0)</f>
        <v>0</v>
      </c>
      <c r="H39" s="47">
        <f>IFERROR(__xludf.DUMMYFUNCTION("""COMPUTED_VALUE"""),0.5)</f>
        <v>0.5</v>
      </c>
    </row>
    <row r="40">
      <c r="A40" s="41" t="str">
        <f>IFERROR(__xludf.DUMMYFUNCTION("""COMPUTED_VALUE"""),"Sarah")</f>
        <v>Sarah</v>
      </c>
      <c r="B40" s="48" t="str">
        <f>IFERROR(__xludf.DUMMYFUNCTION("""COMPUTED_VALUE"""),"407 Pecan Street                                                                                                                                                  ")</f>
        <v>407 Pecan Street                                                                                                                                                  </v>
      </c>
      <c r="C40" s="42">
        <f>IFERROR(__xludf.DUMMYFUNCTION("""COMPUTED_VALUE"""),0.8)</f>
        <v>0.8</v>
      </c>
      <c r="D40" s="43">
        <f>IFERROR(__xludf.DUMMYFUNCTION("""COMPUTED_VALUE"""),0.7692307692307693)</f>
        <v>0.7692307692</v>
      </c>
      <c r="E40" s="44">
        <f>IFERROR(__xludf.DUMMYFUNCTION("""COMPUTED_VALUE"""),675.0)</f>
        <v>675</v>
      </c>
      <c r="F40" s="45">
        <f>IFERROR(__xludf.DUMMYFUNCTION("""COMPUTED_VALUE"""),848.75)</f>
        <v>848.75</v>
      </c>
      <c r="G40" s="46">
        <f>IFERROR(__xludf.DUMMYFUNCTION("""COMPUTED_VALUE"""),0.0)</f>
        <v>0</v>
      </c>
      <c r="H40" s="47">
        <f>IFERROR(__xludf.DUMMYFUNCTION("""COMPUTED_VALUE"""),0.75)</f>
        <v>0.75</v>
      </c>
    </row>
    <row r="41">
      <c r="A41" s="41" t="str">
        <f>IFERROR(__xludf.DUMMYFUNCTION("""COMPUTED_VALUE"""),"Sarah")</f>
        <v>Sarah</v>
      </c>
      <c r="B41" s="48" t="str">
        <f>IFERROR(__xludf.DUMMYFUNCTION("""COMPUTED_VALUE"""),"801-803 Washington Avenue                                                                                                                                                      ")</f>
        <v>801-803 Washington Avenue                                                                                                                                                      </v>
      </c>
      <c r="C41" s="42">
        <f>IFERROR(__xludf.DUMMYFUNCTION("""COMPUTED_VALUE"""),1.0)</f>
        <v>1</v>
      </c>
      <c r="D41" s="43">
        <f>IFERROR(__xludf.DUMMYFUNCTION("""COMPUTED_VALUE"""),1.0842857142857143)</f>
        <v>1.084285714</v>
      </c>
      <c r="E41" s="44">
        <f>IFERROR(__xludf.DUMMYFUNCTION("""COMPUTED_VALUE"""),-118.0)</f>
        <v>-118</v>
      </c>
      <c r="F41" s="45">
        <f>IFERROR(__xludf.DUMMYFUNCTION("""COMPUTED_VALUE"""),-118.0)</f>
        <v>-118</v>
      </c>
      <c r="G41" s="46">
        <f>IFERROR(__xludf.DUMMYFUNCTION("""COMPUTED_VALUE"""),0.0)</f>
        <v>0</v>
      </c>
      <c r="H41" s="47">
        <f>IFERROR(__xludf.DUMMYFUNCTION("""COMPUTED_VALUE"""),1.0)</f>
        <v>1</v>
      </c>
    </row>
    <row r="42">
      <c r="A42" s="41" t="str">
        <f>IFERROR(__xludf.DUMMYFUNCTION("""COMPUTED_VALUE"""),"Sarah")</f>
        <v>Sarah</v>
      </c>
      <c r="B42" s="48" t="str">
        <f>IFERROR(__xludf.DUMMYFUNCTION("""COMPUTED_VALUE"""),"811 South Fairview Road                                                                                                                                                    ")</f>
        <v>811 South Fairview Road                                                                                                                                                    </v>
      </c>
      <c r="C42" s="42">
        <f>IFERROR(__xludf.DUMMYFUNCTION("""COMPUTED_VALUE"""),1.0)</f>
        <v>1</v>
      </c>
      <c r="D42" s="43">
        <f>IFERROR(__xludf.DUMMYFUNCTION("""COMPUTED_VALUE"""),1.0)</f>
        <v>1</v>
      </c>
      <c r="E42" s="44">
        <f>IFERROR(__xludf.DUMMYFUNCTION("""COMPUTED_VALUE"""),0.0)</f>
        <v>0</v>
      </c>
      <c r="F42" s="45">
        <f>IFERROR(__xludf.DUMMYFUNCTION("""COMPUTED_VALUE"""),0.0)</f>
        <v>0</v>
      </c>
      <c r="G42" s="46">
        <f>IFERROR(__xludf.DUMMYFUNCTION("""COMPUTED_VALUE"""),0.0)</f>
        <v>0</v>
      </c>
      <c r="H42" s="47">
        <f>IFERROR(__xludf.DUMMYFUNCTION("""COMPUTED_VALUE"""),1.0)</f>
        <v>1</v>
      </c>
    </row>
    <row r="43">
      <c r="A43" s="49" t="str">
        <f>IFERROR(__xludf.DUMMYFUNCTION("""COMPUTED_VALUE"""),"Sarah")</f>
        <v>Sarah</v>
      </c>
      <c r="B43" s="48" t="str">
        <f>IFERROR(__xludf.DUMMYFUNCTION("""COMPUTED_VALUE"""),"Glen Oaks ")</f>
        <v>Glen Oaks </v>
      </c>
      <c r="C43" s="42">
        <f>IFERROR(__xludf.DUMMYFUNCTION("""COMPUTED_VALUE"""),0.889)</f>
        <v>0.889</v>
      </c>
      <c r="D43" s="43">
        <f>IFERROR(__xludf.DUMMYFUNCTION("""COMPUTED_VALUE"""),0.8515464774104206)</f>
        <v>0.8515464774</v>
      </c>
      <c r="E43" s="44">
        <f>IFERROR(__xludf.DUMMYFUNCTION("""COMPUTED_VALUE"""),4288.08)</f>
        <v>4288.08</v>
      </c>
      <c r="F43" s="45">
        <f>IFERROR(__xludf.DUMMYFUNCTION("""COMPUTED_VALUE"""),6668.82)</f>
        <v>6668.82</v>
      </c>
      <c r="G43" s="46">
        <f>IFERROR(__xludf.DUMMYFUNCTION("""COMPUTED_VALUE"""),0.0)</f>
        <v>0</v>
      </c>
      <c r="H43" s="47">
        <f>IFERROR(__xludf.DUMMYFUNCTION("""COMPUTED_VALUE"""),0.53125)</f>
        <v>0.53125</v>
      </c>
    </row>
    <row r="44">
      <c r="A44" s="41" t="str">
        <f>IFERROR(__xludf.DUMMYFUNCTION("""COMPUTED_VALUE"""),"Karen")</f>
        <v>Karen</v>
      </c>
      <c r="B44" s="48" t="str">
        <f>IFERROR(__xludf.DUMMYFUNCTION("""COMPUTED_VALUE"""),"Hilltop Townhomes ")</f>
        <v>Hilltop Townhomes </v>
      </c>
      <c r="C44" s="42">
        <f>IFERROR(__xludf.DUMMYFUNCTION("""COMPUTED_VALUE"""),0.706)</f>
        <v>0.706</v>
      </c>
      <c r="D44" s="43">
        <f>IFERROR(__xludf.DUMMYFUNCTION("""COMPUTED_VALUE"""),0.8107559545621106)</f>
        <v>0.8107559546</v>
      </c>
      <c r="E44" s="44">
        <f>IFERROR(__xludf.DUMMYFUNCTION("""COMPUTED_VALUE"""),5893.28)</f>
        <v>5893.28</v>
      </c>
      <c r="F44" s="45">
        <f>IFERROR(__xludf.DUMMYFUNCTION("""COMPUTED_VALUE"""),9600.13)</f>
        <v>9600.13</v>
      </c>
      <c r="G44" s="46">
        <f>IFERROR(__xludf.DUMMYFUNCTION("""COMPUTED_VALUE"""),1.0)</f>
        <v>1</v>
      </c>
      <c r="H44" s="47">
        <f>IFERROR(__xludf.DUMMYFUNCTION("""COMPUTED_VALUE"""),0.6944444444444444)</f>
        <v>0.6944444444</v>
      </c>
    </row>
    <row r="45">
      <c r="A45" s="41" t="str">
        <f>IFERROR(__xludf.DUMMYFUNCTION("""COMPUTED_VALUE"""),"Sam")</f>
        <v>Sam</v>
      </c>
      <c r="B45" s="48" t="str">
        <f>IFERROR(__xludf.DUMMYFUNCTION("""COMPUTED_VALUE"""),"Maple Manor Apartments                                                                                                                                             ")</f>
        <v>Maple Manor Apartments                                                                                                                                             </v>
      </c>
      <c r="C45" s="42">
        <f>IFERROR(__xludf.DUMMYFUNCTION("""COMPUTED_VALUE"""),0.875)</f>
        <v>0.875</v>
      </c>
      <c r="D45" s="43">
        <f>IFERROR(__xludf.DUMMYFUNCTION("""COMPUTED_VALUE"""),0.8731374616719934)</f>
        <v>0.8731374617</v>
      </c>
      <c r="E45" s="44">
        <f>IFERROR(__xludf.DUMMYFUNCTION("""COMPUTED_VALUE"""),3909.84)</f>
        <v>3909.84</v>
      </c>
      <c r="F45" s="45">
        <f>IFERROR(__xludf.DUMMYFUNCTION("""COMPUTED_VALUE"""),4072.34)</f>
        <v>4072.34</v>
      </c>
      <c r="G45" s="46">
        <f>IFERROR(__xludf.DUMMYFUNCTION("""COMPUTED_VALUE"""),0.0)</f>
        <v>0</v>
      </c>
      <c r="H45" s="47">
        <f>IFERROR(__xludf.DUMMYFUNCTION("""COMPUTED_VALUE"""),0.37142857142857144)</f>
        <v>0.3714285714</v>
      </c>
    </row>
    <row r="46">
      <c r="A46" s="41" t="str">
        <f>IFERROR(__xludf.DUMMYFUNCTION("""COMPUTED_VALUE"""),"Sam")</f>
        <v>Sam</v>
      </c>
      <c r="B46" s="48" t="str">
        <f>IFERROR(__xludf.DUMMYFUNCTION("""COMPUTED_VALUE"""),"Normandy Apartments")</f>
        <v>Normandy Apartments</v>
      </c>
      <c r="C46" s="42">
        <f>IFERROR(__xludf.DUMMYFUNCTION("""COMPUTED_VALUE"""),0.909)</f>
        <v>0.909</v>
      </c>
      <c r="D46" s="43">
        <f>IFERROR(__xludf.DUMMYFUNCTION("""COMPUTED_VALUE"""),0.9192616362192216)</f>
        <v>0.9192616362</v>
      </c>
      <c r="E46" s="44">
        <f>IFERROR(__xludf.DUMMYFUNCTION("""COMPUTED_VALUE"""),941.8699999999999)</f>
        <v>941.87</v>
      </c>
      <c r="F46" s="45">
        <f>IFERROR(__xludf.DUMMYFUNCTION("""COMPUTED_VALUE"""),1599.37)</f>
        <v>1599.37</v>
      </c>
      <c r="G46" s="46">
        <f>IFERROR(__xludf.DUMMYFUNCTION("""COMPUTED_VALUE"""),0.0)</f>
        <v>0</v>
      </c>
      <c r="H46" s="47">
        <f>IFERROR(__xludf.DUMMYFUNCTION("""COMPUTED_VALUE"""),0.6)</f>
        <v>0.6</v>
      </c>
    </row>
    <row r="47">
      <c r="A47" s="41" t="str">
        <f>IFERROR(__xludf.DUMMYFUNCTION("""COMPUTED_VALUE"""),"Sam")</f>
        <v>Sam</v>
      </c>
      <c r="B47" s="48" t="str">
        <f>IFERROR(__xludf.DUMMYFUNCTION("""COMPUTED_VALUE"""),"Oakwood Gardens ")</f>
        <v>Oakwood Gardens </v>
      </c>
      <c r="C47" s="42">
        <f>IFERROR(__xludf.DUMMYFUNCTION("""COMPUTED_VALUE"""),0.9)</f>
        <v>0.9</v>
      </c>
      <c r="D47" s="43">
        <f>IFERROR(__xludf.DUMMYFUNCTION("""COMPUTED_VALUE"""),0.9604741331560872)</f>
        <v>0.9604741332</v>
      </c>
      <c r="E47" s="44">
        <f>IFERROR(__xludf.DUMMYFUNCTION("""COMPUTED_VALUE"""),2105.12)</f>
        <v>2105.12</v>
      </c>
      <c r="F47" s="45">
        <f>IFERROR(__xludf.DUMMYFUNCTION("""COMPUTED_VALUE"""),5421.12)</f>
        <v>5421.12</v>
      </c>
      <c r="G47" s="46">
        <f>IFERROR(__xludf.DUMMYFUNCTION("""COMPUTED_VALUE"""),1.0)</f>
        <v>1</v>
      </c>
      <c r="H47" s="47">
        <f>IFERROR(__xludf.DUMMYFUNCTION("""COMPUTED_VALUE"""),0.5333333333333333)</f>
        <v>0.5333333333</v>
      </c>
    </row>
    <row r="48">
      <c r="A48" s="49" t="str">
        <f>IFERROR(__xludf.DUMMYFUNCTION("""COMPUTED_VALUE"""),"Sarah")</f>
        <v>Sarah</v>
      </c>
      <c r="B48" s="48" t="str">
        <f>IFERROR(__xludf.DUMMYFUNCTION("""COMPUTED_VALUE"""),"Pioneer Apartments ")</f>
        <v>Pioneer Apartments </v>
      </c>
      <c r="C48" s="42">
        <f>IFERROR(__xludf.DUMMYFUNCTION("""COMPUTED_VALUE"""),1.0)</f>
        <v>1</v>
      </c>
      <c r="D48" s="43">
        <f>IFERROR(__xludf.DUMMYFUNCTION("""COMPUTED_VALUE"""),0.9576914831643948)</f>
        <v>0.9576914832</v>
      </c>
      <c r="E48" s="44">
        <f>IFERROR(__xludf.DUMMYFUNCTION("""COMPUTED_VALUE"""),958.6700000000001)</f>
        <v>958.67</v>
      </c>
      <c r="F48" s="45">
        <f>IFERROR(__xludf.DUMMYFUNCTION("""COMPUTED_VALUE"""),958.67)</f>
        <v>958.67</v>
      </c>
      <c r="G48" s="46">
        <f>IFERROR(__xludf.DUMMYFUNCTION("""COMPUTED_VALUE"""),0.0)</f>
        <v>0</v>
      </c>
      <c r="H48" s="47">
        <f>IFERROR(__xludf.DUMMYFUNCTION("""COMPUTED_VALUE"""),0.6666666666666666)</f>
        <v>0.6666666667</v>
      </c>
    </row>
    <row r="49">
      <c r="A49" s="50"/>
      <c r="B49" s="51"/>
      <c r="C49" s="52">
        <f>IFERROR(__xludf.DUMMYFUNCTION("""COMPUTED_VALUE"""),0.8644296577946768)</f>
        <v>0.8644296578</v>
      </c>
      <c r="D49" s="53">
        <f>IFERROR(__xludf.DUMMYFUNCTION("""COMPUTED_VALUE"""),0.9089744769647494)</f>
        <v>0.908974477</v>
      </c>
      <c r="E49" s="54">
        <f>IFERROR(__xludf.DUMMYFUNCTION("""COMPUTED_VALUE"""),18792.11)</f>
        <v>18792.11</v>
      </c>
      <c r="F49" s="54">
        <f>IFERROR(__xludf.DUMMYFUNCTION("""COMPUTED_VALUE"""),29189.449999999993)</f>
        <v>29189.45</v>
      </c>
      <c r="G49" s="55">
        <f>IFERROR(__xludf.DUMMYFUNCTION("""COMPUTED_VALUE"""),2.0)</f>
        <v>2</v>
      </c>
      <c r="H49" s="56">
        <f>IFERROR(__xludf.DUMMYFUNCTION("""COMPUTED_VALUE"""),0.5747663551401869)</f>
        <v>0.5747663551</v>
      </c>
    </row>
    <row r="50">
      <c r="A50" s="9">
        <v>45985.0</v>
      </c>
      <c r="B50" s="10"/>
      <c r="C50" s="11"/>
      <c r="D50" s="11"/>
      <c r="E50" s="12"/>
      <c r="F50" s="13"/>
      <c r="G50" s="11"/>
      <c r="H50" s="14"/>
    </row>
    <row r="51">
      <c r="A51" s="35" t="str">
        <f>IFERROR(__xludf.DUMMYFUNCTION("IFERROR(
  IMPORTRANGE(TRIM($A$1), ""'"" &amp; TRIM(A50) &amp; ""'!A282:h296""),
  """"
)"),"Sarah")</f>
        <v>Sarah</v>
      </c>
      <c r="B51" s="36"/>
      <c r="C51" s="57">
        <f>IFERROR(__xludf.DUMMYFUNCTION("""COMPUTED_VALUE"""),0.9177176470588235)</f>
        <v>0.9177176471</v>
      </c>
      <c r="D51" s="58">
        <f>IFERROR(__xludf.DUMMYFUNCTION("""COMPUTED_VALUE"""),0.9781749932671955)</f>
        <v>0.9781749933</v>
      </c>
      <c r="E51" s="59">
        <f>IFERROR(__xludf.DUMMYFUNCTION("""COMPUTED_VALUE"""),1509.5499999999997)</f>
        <v>1509.55</v>
      </c>
      <c r="F51" s="60">
        <f>IFERROR(__xludf.DUMMYFUNCTION("""COMPUTED_VALUE"""),3990.29)</f>
        <v>3990.29</v>
      </c>
      <c r="G51" s="32">
        <f>IFERROR(__xludf.DUMMYFUNCTION("""COMPUTED_VALUE"""),0.0)</f>
        <v>0</v>
      </c>
      <c r="H51" s="23">
        <f>IFERROR(__xludf.DUMMYFUNCTION("""COMPUTED_VALUE"""),0.6514705882352941)</f>
        <v>0.6514705882</v>
      </c>
    </row>
    <row r="52">
      <c r="A52" s="26" t="str">
        <f>IFERROR(__xludf.DUMMYFUNCTION("""COMPUTED_VALUE"""),"Karen")</f>
        <v>Karen</v>
      </c>
      <c r="B52" s="27"/>
      <c r="C52" s="28">
        <f>IFERROR(__xludf.DUMMYFUNCTION("""COMPUTED_VALUE"""),0.706)</f>
        <v>0.706</v>
      </c>
      <c r="D52" s="29">
        <f>IFERROR(__xludf.DUMMYFUNCTION("""COMPUTED_VALUE"""),0.9079496763161109)</f>
        <v>0.9079496763</v>
      </c>
      <c r="E52" s="30">
        <f>IFERROR(__xludf.DUMMYFUNCTION("""COMPUTED_VALUE"""),2133.08)</f>
        <v>2133.08</v>
      </c>
      <c r="F52" s="31">
        <f>IFERROR(__xludf.DUMMYFUNCTION("""COMPUTED_VALUE"""),5403.08)</f>
        <v>5403.08</v>
      </c>
      <c r="G52" s="32">
        <f>IFERROR(__xludf.DUMMYFUNCTION("""COMPUTED_VALUE"""),2.0)</f>
        <v>2</v>
      </c>
      <c r="H52" s="33">
        <f>IFERROR(__xludf.DUMMYFUNCTION("""COMPUTED_VALUE"""),0.75)</f>
        <v>0.75</v>
      </c>
    </row>
    <row r="53">
      <c r="A53" s="35" t="str">
        <f>IFERROR(__xludf.DUMMYFUNCTION("""COMPUTED_VALUE"""),"Sam")</f>
        <v>Sam</v>
      </c>
      <c r="B53" s="36"/>
      <c r="C53" s="37">
        <f>IFERROR(__xludf.DUMMYFUNCTION("""COMPUTED_VALUE"""),0.8928392857142857)</f>
        <v>0.8928392857</v>
      </c>
      <c r="D53" s="38">
        <f>IFERROR(__xludf.DUMMYFUNCTION("""COMPUTED_VALUE"""),0.9623753151179432)</f>
        <v>0.9623753151</v>
      </c>
      <c r="E53" s="39">
        <f>IFERROR(__xludf.DUMMYFUNCTION("""COMPUTED_VALUE"""),3524.1000000000004)</f>
        <v>3524.1</v>
      </c>
      <c r="F53" s="40">
        <f>IFERROR(__xludf.DUMMYFUNCTION("""COMPUTED_VALUE"""),7152.6)</f>
        <v>7152.6</v>
      </c>
      <c r="G53" s="32">
        <f>IFERROR(__xludf.DUMMYFUNCTION("""COMPUTED_VALUE"""),1.0)</f>
        <v>1</v>
      </c>
      <c r="H53" s="33">
        <f>IFERROR(__xludf.DUMMYFUNCTION("""COMPUTED_VALUE"""),0.5189342403628118)</f>
        <v>0.5189342404</v>
      </c>
    </row>
    <row r="54">
      <c r="A54" s="41" t="str">
        <f>IFERROR(__xludf.DUMMYFUNCTION("""COMPUTED_VALUE"""),"Sarah")</f>
        <v>Sarah</v>
      </c>
      <c r="B54" s="41" t="str">
        <f>IFERROR(__xludf.DUMMYFUNCTION("""COMPUTED_VALUE"""),"1511 Sylvan Lane                                                                                                                                                ")</f>
        <v>1511 Sylvan Lane                                                                                                                                                </v>
      </c>
      <c r="C54" s="42">
        <f>IFERROR(__xludf.DUMMYFUNCTION("""COMPUTED_VALUE"""),1.0)</f>
        <v>1</v>
      </c>
      <c r="D54" s="43">
        <f>IFERROR(__xludf.DUMMYFUNCTION("""COMPUTED_VALUE"""),1.0020382165605095)</f>
        <v>1.002038217</v>
      </c>
      <c r="E54" s="44">
        <f>IFERROR(__xludf.DUMMYFUNCTION("""COMPUTED_VALUE"""),-8.0)</f>
        <v>-8</v>
      </c>
      <c r="F54" s="45">
        <f>IFERROR(__xludf.DUMMYFUNCTION("""COMPUTED_VALUE"""),-8.0)</f>
        <v>-8</v>
      </c>
      <c r="G54" s="46">
        <f>IFERROR(__xludf.DUMMYFUNCTION("""COMPUTED_VALUE"""),0.0)</f>
        <v>0</v>
      </c>
      <c r="H54" s="47">
        <f>IFERROR(__xludf.DUMMYFUNCTION("""COMPUTED_VALUE"""),0.75)</f>
        <v>0.75</v>
      </c>
    </row>
    <row r="55">
      <c r="A55" s="41" t="str">
        <f>IFERROR(__xludf.DUMMYFUNCTION("""COMPUTED_VALUE"""),"Sarah")</f>
        <v>Sarah</v>
      </c>
      <c r="B55" s="48" t="str">
        <f>IFERROR(__xludf.DUMMYFUNCTION("""COMPUTED_VALUE"""),"3909 North Oakland Gravel Road                                                                                                                                                    ")</f>
        <v>3909 North Oakland Gravel Road                                                                                                                                                    </v>
      </c>
      <c r="C55" s="42">
        <f>IFERROR(__xludf.DUMMYFUNCTION("""COMPUTED_VALUE"""),0.667)</f>
        <v>0.667</v>
      </c>
      <c r="D55" s="43">
        <f>IFERROR(__xludf.DUMMYFUNCTION("""COMPUTED_VALUE"""),0.9407534246575342)</f>
        <v>0.9407534247</v>
      </c>
      <c r="E55" s="44">
        <f>IFERROR(__xludf.DUMMYFUNCTION("""COMPUTED_VALUE"""),216.25)</f>
        <v>216.25</v>
      </c>
      <c r="F55" s="45">
        <f>IFERROR(__xludf.DUMMYFUNCTION("""COMPUTED_VALUE"""),216.25)</f>
        <v>216.25</v>
      </c>
      <c r="G55" s="46">
        <f>IFERROR(__xludf.DUMMYFUNCTION("""COMPUTED_VALUE"""),0.0)</f>
        <v>0</v>
      </c>
      <c r="H55" s="47">
        <f>IFERROR(__xludf.DUMMYFUNCTION("""COMPUTED_VALUE"""),0.75)</f>
        <v>0.75</v>
      </c>
    </row>
    <row r="56">
      <c r="A56" s="41" t="str">
        <f>IFERROR(__xludf.DUMMYFUNCTION("""COMPUTED_VALUE"""),"Sarah")</f>
        <v>Sarah</v>
      </c>
      <c r="B56" s="48" t="str">
        <f>IFERROR(__xludf.DUMMYFUNCTION("""COMPUTED_VALUE"""),"407 Pecan Street                                                                                                                                                  ")</f>
        <v>407 Pecan Street                                                                                                                                                  </v>
      </c>
      <c r="C56" s="42">
        <f>IFERROR(__xludf.DUMMYFUNCTION("""COMPUTED_VALUE"""),0.8)</f>
        <v>0.8</v>
      </c>
      <c r="D56" s="43">
        <f>IFERROR(__xludf.DUMMYFUNCTION("""COMPUTED_VALUE"""),0.9081196581196581)</f>
        <v>0.9081196581</v>
      </c>
      <c r="E56" s="44">
        <f>IFERROR(__xludf.DUMMYFUNCTION("""COMPUTED_VALUE"""),268.75)</f>
        <v>268.75</v>
      </c>
      <c r="F56" s="45">
        <f>IFERROR(__xludf.DUMMYFUNCTION("""COMPUTED_VALUE"""),268.75)</f>
        <v>268.75</v>
      </c>
      <c r="G56" s="46">
        <f>IFERROR(__xludf.DUMMYFUNCTION("""COMPUTED_VALUE"""),0.0)</f>
        <v>0</v>
      </c>
      <c r="H56" s="47">
        <f>IFERROR(__xludf.DUMMYFUNCTION("""COMPUTED_VALUE"""),0.75)</f>
        <v>0.75</v>
      </c>
    </row>
    <row r="57">
      <c r="A57" s="41" t="str">
        <f>IFERROR(__xludf.DUMMYFUNCTION("""COMPUTED_VALUE"""),"Sarah")</f>
        <v>Sarah</v>
      </c>
      <c r="B57" s="48" t="str">
        <f>IFERROR(__xludf.DUMMYFUNCTION("""COMPUTED_VALUE"""),"801-803 Washington Avenue                                                                                                                                                      ")</f>
        <v>801-803 Washington Avenue                                                                                                                                                      </v>
      </c>
      <c r="C57" s="42">
        <f>IFERROR(__xludf.DUMMYFUNCTION("""COMPUTED_VALUE"""),1.0)</f>
        <v>1</v>
      </c>
      <c r="D57" s="43">
        <f>IFERROR(__xludf.DUMMYFUNCTION("""COMPUTED_VALUE"""),1.0842857142857143)</f>
        <v>1.084285714</v>
      </c>
      <c r="E57" s="44">
        <f>IFERROR(__xludf.DUMMYFUNCTION("""COMPUTED_VALUE"""),-118.0)</f>
        <v>-118</v>
      </c>
      <c r="F57" s="45">
        <f>IFERROR(__xludf.DUMMYFUNCTION("""COMPUTED_VALUE"""),-118.0)</f>
        <v>-118</v>
      </c>
      <c r="G57" s="46">
        <f>IFERROR(__xludf.DUMMYFUNCTION("""COMPUTED_VALUE"""),0.0)</f>
        <v>0</v>
      </c>
      <c r="H57" s="47">
        <f>IFERROR(__xludf.DUMMYFUNCTION("""COMPUTED_VALUE"""),1.0)</f>
        <v>1</v>
      </c>
    </row>
    <row r="58">
      <c r="A58" s="41" t="str">
        <f>IFERROR(__xludf.DUMMYFUNCTION("""COMPUTED_VALUE"""),"Sarah")</f>
        <v>Sarah</v>
      </c>
      <c r="B58" s="48" t="str">
        <f>IFERROR(__xludf.DUMMYFUNCTION("""COMPUTED_VALUE"""),"811 South Fairview Road                                                                                                                                                    ")</f>
        <v>811 South Fairview Road                                                                                                                                                    </v>
      </c>
      <c r="C58" s="42">
        <f>IFERROR(__xludf.DUMMYFUNCTION("""COMPUTED_VALUE"""),1.0)</f>
        <v>1</v>
      </c>
      <c r="D58" s="43">
        <f>IFERROR(__xludf.DUMMYFUNCTION("""COMPUTED_VALUE"""),1.0)</f>
        <v>1</v>
      </c>
      <c r="E58" s="44">
        <f>IFERROR(__xludf.DUMMYFUNCTION("""COMPUTED_VALUE"""),0.0)</f>
        <v>0</v>
      </c>
      <c r="F58" s="45">
        <f>IFERROR(__xludf.DUMMYFUNCTION("""COMPUTED_VALUE"""),0.0)</f>
        <v>0</v>
      </c>
      <c r="G58" s="46">
        <f>IFERROR(__xludf.DUMMYFUNCTION("""COMPUTED_VALUE"""),0.0)</f>
        <v>0</v>
      </c>
      <c r="H58" s="47">
        <f>IFERROR(__xludf.DUMMYFUNCTION("""COMPUTED_VALUE"""),1.0)</f>
        <v>1</v>
      </c>
    </row>
    <row r="59">
      <c r="A59" s="49" t="str">
        <f>IFERROR(__xludf.DUMMYFUNCTION("""COMPUTED_VALUE"""),"Sarah")</f>
        <v>Sarah</v>
      </c>
      <c r="B59" s="48" t="str">
        <f>IFERROR(__xludf.DUMMYFUNCTION("""COMPUTED_VALUE"""),"Glen Oaks ")</f>
        <v>Glen Oaks </v>
      </c>
      <c r="C59" s="42">
        <f>IFERROR(__xludf.DUMMYFUNCTION("""COMPUTED_VALUE"""),0.889)</f>
        <v>0.889</v>
      </c>
      <c r="D59" s="43">
        <f>IFERROR(__xludf.DUMMYFUNCTION("""COMPUTED_VALUE"""),0.9268883503548554)</f>
        <v>0.9268883504</v>
      </c>
      <c r="E59" s="44">
        <f>IFERROR(__xludf.DUMMYFUNCTION("""COMPUTED_VALUE"""),2111.83)</f>
        <v>2111.83</v>
      </c>
      <c r="F59" s="45">
        <f>IFERROR(__xludf.DUMMYFUNCTION("""COMPUTED_VALUE"""),4592.57)</f>
        <v>4592.57</v>
      </c>
      <c r="G59" s="46">
        <f>IFERROR(__xludf.DUMMYFUNCTION("""COMPUTED_VALUE"""),0.0)</f>
        <v>0</v>
      </c>
      <c r="H59" s="47">
        <f>IFERROR(__xludf.DUMMYFUNCTION("""COMPUTED_VALUE"""),0.53125)</f>
        <v>0.53125</v>
      </c>
    </row>
    <row r="60">
      <c r="A60" s="41" t="str">
        <f>IFERROR(__xludf.DUMMYFUNCTION("""COMPUTED_VALUE"""),"Karen")</f>
        <v>Karen</v>
      </c>
      <c r="B60" s="48" t="str">
        <f>IFERROR(__xludf.DUMMYFUNCTION("""COMPUTED_VALUE"""),"Hilltop Townhomes ")</f>
        <v>Hilltop Townhomes </v>
      </c>
      <c r="C60" s="42">
        <f>IFERROR(__xludf.DUMMYFUNCTION("""COMPUTED_VALUE"""),0.706)</f>
        <v>0.706</v>
      </c>
      <c r="D60" s="43">
        <f>IFERROR(__xludf.DUMMYFUNCTION("""COMPUTED_VALUE"""),0.9079496763161109)</f>
        <v>0.9079496763</v>
      </c>
      <c r="E60" s="44">
        <f>IFERROR(__xludf.DUMMYFUNCTION("""COMPUTED_VALUE"""),2133.08)</f>
        <v>2133.08</v>
      </c>
      <c r="F60" s="45">
        <f>IFERROR(__xludf.DUMMYFUNCTION("""COMPUTED_VALUE"""),5403.08)</f>
        <v>5403.08</v>
      </c>
      <c r="G60" s="46">
        <f>IFERROR(__xludf.DUMMYFUNCTION("""COMPUTED_VALUE"""),2.0)</f>
        <v>2</v>
      </c>
      <c r="H60" s="47">
        <f>IFERROR(__xludf.DUMMYFUNCTION("""COMPUTED_VALUE"""),0.75)</f>
        <v>0.75</v>
      </c>
    </row>
    <row r="61">
      <c r="A61" s="41" t="str">
        <f>IFERROR(__xludf.DUMMYFUNCTION("""COMPUTED_VALUE"""),"Sam")</f>
        <v>Sam</v>
      </c>
      <c r="B61" s="48" t="str">
        <f>IFERROR(__xludf.DUMMYFUNCTION("""COMPUTED_VALUE"""),"Maple Manor Apartments                                                                                                                                             ")</f>
        <v>Maple Manor Apartments                                                                                                                                             </v>
      </c>
      <c r="C61" s="42">
        <f>IFERROR(__xludf.DUMMYFUNCTION("""COMPUTED_VALUE"""),0.875)</f>
        <v>0.875</v>
      </c>
      <c r="D61" s="43">
        <f>IFERROR(__xludf.DUMMYFUNCTION("""COMPUTED_VALUE"""),0.9373786076996707)</f>
        <v>0.9373786077</v>
      </c>
      <c r="E61" s="44">
        <f>IFERROR(__xludf.DUMMYFUNCTION("""COMPUTED_VALUE"""),1929.96)</f>
        <v>1929.96</v>
      </c>
      <c r="F61" s="45">
        <f>IFERROR(__xludf.DUMMYFUNCTION("""COMPUTED_VALUE"""),2142.46)</f>
        <v>2142.46</v>
      </c>
      <c r="G61" s="46">
        <f>IFERROR(__xludf.DUMMYFUNCTION("""COMPUTED_VALUE"""),0.0)</f>
        <v>0</v>
      </c>
      <c r="H61" s="47">
        <f>IFERROR(__xludf.DUMMYFUNCTION("""COMPUTED_VALUE"""),0.42857142857142855)</f>
        <v>0.4285714286</v>
      </c>
    </row>
    <row r="62">
      <c r="A62" s="41" t="str">
        <f>IFERROR(__xludf.DUMMYFUNCTION("""COMPUTED_VALUE"""),"Sam")</f>
        <v>Sam</v>
      </c>
      <c r="B62" s="48" t="str">
        <f>IFERROR(__xludf.DUMMYFUNCTION("""COMPUTED_VALUE"""),"Normandy Apartments")</f>
        <v>Normandy Apartments</v>
      </c>
      <c r="C62" s="42">
        <f>IFERROR(__xludf.DUMMYFUNCTION("""COMPUTED_VALUE"""),0.909)</f>
        <v>0.909</v>
      </c>
      <c r="D62" s="43">
        <f>IFERROR(__xludf.DUMMYFUNCTION("""COMPUTED_VALUE"""),0.973469737887212)</f>
        <v>0.9734697379</v>
      </c>
      <c r="E62" s="44">
        <f>IFERROR(__xludf.DUMMYFUNCTION("""COMPUTED_VALUE"""),392.52)</f>
        <v>392.52</v>
      </c>
      <c r="F62" s="45">
        <f>IFERROR(__xludf.DUMMYFUNCTION("""COMPUTED_VALUE"""),442.52)</f>
        <v>442.52</v>
      </c>
      <c r="G62" s="46">
        <f>IFERROR(__xludf.DUMMYFUNCTION("""COMPUTED_VALUE"""),0.0)</f>
        <v>0</v>
      </c>
      <c r="H62" s="47">
        <f>IFERROR(__xludf.DUMMYFUNCTION("""COMPUTED_VALUE"""),0.6)</f>
        <v>0.6</v>
      </c>
    </row>
    <row r="63">
      <c r="A63" s="41" t="str">
        <f>IFERROR(__xludf.DUMMYFUNCTION("""COMPUTED_VALUE"""),"Sam")</f>
        <v>Sam</v>
      </c>
      <c r="B63" s="48" t="str">
        <f>IFERROR(__xludf.DUMMYFUNCTION("""COMPUTED_VALUE"""),"Oakwood Gardens ")</f>
        <v>Oakwood Gardens </v>
      </c>
      <c r="C63" s="42">
        <f>IFERROR(__xludf.DUMMYFUNCTION("""COMPUTED_VALUE"""),0.9)</f>
        <v>0.9</v>
      </c>
      <c r="D63" s="43">
        <f>IFERROR(__xludf.DUMMYFUNCTION("""COMPUTED_VALUE"""),0.977491135034083)</f>
        <v>0.977491135</v>
      </c>
      <c r="E63" s="44">
        <f>IFERROR(__xludf.DUMMYFUNCTION("""COMPUTED_VALUE"""),1201.6200000000001)</f>
        <v>1201.62</v>
      </c>
      <c r="F63" s="45">
        <f>IFERROR(__xludf.DUMMYFUNCTION("""COMPUTED_VALUE"""),4567.62)</f>
        <v>4567.62</v>
      </c>
      <c r="G63" s="46">
        <f>IFERROR(__xludf.DUMMYFUNCTION("""COMPUTED_VALUE"""),1.0)</f>
        <v>1</v>
      </c>
      <c r="H63" s="47">
        <f>IFERROR(__xludf.DUMMYFUNCTION("""COMPUTED_VALUE"""),0.5555555555555556)</f>
        <v>0.5555555556</v>
      </c>
    </row>
    <row r="64">
      <c r="A64" s="49" t="str">
        <f>IFERROR(__xludf.DUMMYFUNCTION("""COMPUTED_VALUE"""),"Sarah")</f>
        <v>Sarah</v>
      </c>
      <c r="B64" s="48" t="str">
        <f>IFERROR(__xludf.DUMMYFUNCTION("""COMPUTED_VALUE"""),"Pioneer Apartments ")</f>
        <v>Pioneer Apartments </v>
      </c>
      <c r="C64" s="42">
        <f>IFERROR(__xludf.DUMMYFUNCTION("""COMPUTED_VALUE"""),1.0)</f>
        <v>1</v>
      </c>
      <c r="D64" s="43">
        <f>IFERROR(__xludf.DUMMYFUNCTION("""COMPUTED_VALUE"""),1.0471683560526621)</f>
        <v>1.047168356</v>
      </c>
      <c r="E64" s="44">
        <f>IFERROR(__xludf.DUMMYFUNCTION("""COMPUTED_VALUE"""),-961.2800000000002)</f>
        <v>-961.28</v>
      </c>
      <c r="F64" s="45">
        <f>IFERROR(__xludf.DUMMYFUNCTION("""COMPUTED_VALUE"""),-961.28)</f>
        <v>-961.28</v>
      </c>
      <c r="G64" s="46">
        <f>IFERROR(__xludf.DUMMYFUNCTION("""COMPUTED_VALUE"""),0.0)</f>
        <v>0</v>
      </c>
      <c r="H64" s="47">
        <f>IFERROR(__xludf.DUMMYFUNCTION("""COMPUTED_VALUE"""),0.7)</f>
        <v>0.7</v>
      </c>
    </row>
    <row r="65">
      <c r="A65" s="50"/>
      <c r="B65" s="51"/>
      <c r="C65" s="52">
        <f>IFERROR(__xludf.DUMMYFUNCTION("""COMPUTED_VALUE"""),0.8644296577946768)</f>
        <v>0.8644296578</v>
      </c>
      <c r="D65" s="53">
        <f>IFERROR(__xludf.DUMMYFUNCTION("""COMPUTED_VALUE"""),0.9653066845843962)</f>
        <v>0.9653066846</v>
      </c>
      <c r="E65" s="54">
        <f>IFERROR(__xludf.DUMMYFUNCTION("""COMPUTED_VALUE"""),7166.73)</f>
        <v>7166.73</v>
      </c>
      <c r="F65" s="54">
        <f>IFERROR(__xludf.DUMMYFUNCTION("""COMPUTED_VALUE"""),16545.97)</f>
        <v>16545.97</v>
      </c>
      <c r="G65" s="55">
        <f>IFERROR(__xludf.DUMMYFUNCTION("""COMPUTED_VALUE"""),3.0)</f>
        <v>3</v>
      </c>
      <c r="H65" s="56">
        <f>IFERROR(__xludf.DUMMYFUNCTION("""COMPUTED_VALUE"""),0.6074766355140186)</f>
        <v>0.6074766355</v>
      </c>
    </row>
    <row r="66">
      <c r="A66" s="9">
        <v>45992.0</v>
      </c>
      <c r="B66" s="10"/>
      <c r="C66" s="11"/>
      <c r="D66" s="11"/>
      <c r="E66" s="12"/>
      <c r="F66" s="13"/>
      <c r="G66" s="11"/>
      <c r="H66" s="14"/>
    </row>
    <row r="67">
      <c r="A67" s="35" t="str">
        <f>IFERROR(__xludf.DUMMYFUNCTION("IFERROR(
  IMPORTRANGE(TRIM($A$1), ""'"" &amp; TRIM(A66) &amp; ""'!A282:h296""),
  """"
)"),"Sarah")</f>
        <v>Sarah</v>
      </c>
      <c r="B67" s="36"/>
      <c r="C67" s="57">
        <f>IFERROR(__xludf.DUMMYFUNCTION("""COMPUTED_VALUE"""),0.9177176470588235)</f>
        <v>0.9177176471</v>
      </c>
      <c r="D67" s="58">
        <f>IFERROR(__xludf.DUMMYFUNCTION("""COMPUTED_VALUE"""),0.2179293264654124)</f>
        <v>0.2179293265</v>
      </c>
      <c r="E67" s="59">
        <f>IFERROR(__xludf.DUMMYFUNCTION("""COMPUTED_VALUE"""),50821.630000000005)</f>
        <v>50821.63</v>
      </c>
      <c r="F67" s="60">
        <f>IFERROR(__xludf.DUMMYFUNCTION("""COMPUTED_VALUE"""),54921.2)</f>
        <v>54921.2</v>
      </c>
      <c r="G67" s="32">
        <f>IFERROR(__xludf.DUMMYFUNCTION("""COMPUTED_VALUE"""),0.0)</f>
        <v>0</v>
      </c>
      <c r="H67" s="23">
        <f>IFERROR(__xludf.DUMMYFUNCTION("""COMPUTED_VALUE"""),0.7544117647058823)</f>
        <v>0.7544117647</v>
      </c>
    </row>
    <row r="68">
      <c r="A68" s="26" t="str">
        <f>IFERROR(__xludf.DUMMYFUNCTION("""COMPUTED_VALUE"""),"Karen")</f>
        <v>Karen</v>
      </c>
      <c r="B68" s="27"/>
      <c r="C68" s="28">
        <f>IFERROR(__xludf.DUMMYFUNCTION("""COMPUTED_VALUE"""),0.7943150684931507)</f>
        <v>0.7943150685</v>
      </c>
      <c r="D68" s="29">
        <f>IFERROR(__xludf.DUMMYFUNCTION("""COMPUTED_VALUE"""),0.17833396641405885)</f>
        <v>0.1783339664</v>
      </c>
      <c r="E68" s="30">
        <f>IFERROR(__xludf.DUMMYFUNCTION("""COMPUTED_VALUE"""),44779.63)</f>
        <v>44779.63</v>
      </c>
      <c r="F68" s="31">
        <f>IFERROR(__xludf.DUMMYFUNCTION("""COMPUTED_VALUE"""),53618.37)</f>
        <v>53618.37</v>
      </c>
      <c r="G68" s="32">
        <f>IFERROR(__xludf.DUMMYFUNCTION("""COMPUTED_VALUE"""),2.0)</f>
        <v>2</v>
      </c>
      <c r="H68" s="33">
        <f>IFERROR(__xludf.DUMMYFUNCTION("""COMPUTED_VALUE"""),0.7341372683838437)</f>
        <v>0.7341372684</v>
      </c>
    </row>
    <row r="69">
      <c r="A69" s="35" t="str">
        <f>IFERROR(__xludf.DUMMYFUNCTION("""COMPUTED_VALUE"""),"Sam")</f>
        <v>Sam</v>
      </c>
      <c r="B69" s="36"/>
      <c r="C69" s="37">
        <f>IFERROR(__xludf.DUMMYFUNCTION("""COMPUTED_VALUE"""),0.8777777777777778)</f>
        <v>0.8777777778</v>
      </c>
      <c r="D69" s="38">
        <f>IFERROR(__xludf.DUMMYFUNCTION("""COMPUTED_VALUE"""),0.2562783612411058)</f>
        <v>0.2562783612</v>
      </c>
      <c r="E69" s="39">
        <f>IFERROR(__xludf.DUMMYFUNCTION("""COMPUTED_VALUE"""),61269.049999999996)</f>
        <v>61269.05</v>
      </c>
      <c r="F69" s="40">
        <f>IFERROR(__xludf.DUMMYFUNCTION("""COMPUTED_VALUE"""),71963.48)</f>
        <v>71963.48</v>
      </c>
      <c r="G69" s="32">
        <f>IFERROR(__xludf.DUMMYFUNCTION("""COMPUTED_VALUE"""),1.0)</f>
        <v>1</v>
      </c>
      <c r="H69" s="33">
        <f>IFERROR(__xludf.DUMMYFUNCTION("""COMPUTED_VALUE"""),0.5570079883805374)</f>
        <v>0.5570079884</v>
      </c>
    </row>
    <row r="70">
      <c r="A70" s="41" t="str">
        <f>IFERROR(__xludf.DUMMYFUNCTION("""COMPUTED_VALUE"""),"Sarah")</f>
        <v>Sarah</v>
      </c>
      <c r="B70" s="41" t="str">
        <f>IFERROR(__xludf.DUMMYFUNCTION("""COMPUTED_VALUE"""),"1511 Sylvan Lane                                                                                                                                                ")</f>
        <v>1511 Sylvan Lane                                                                                                                                                </v>
      </c>
      <c r="C70" s="42">
        <f>IFERROR(__xludf.DUMMYFUNCTION("""COMPUTED_VALUE"""),1.0)</f>
        <v>1</v>
      </c>
      <c r="D70" s="43">
        <f>IFERROR(__xludf.DUMMYFUNCTION("""COMPUTED_VALUE"""),0.002038216560509554)</f>
        <v>0.002038216561</v>
      </c>
      <c r="E70" s="44">
        <f>IFERROR(__xludf.DUMMYFUNCTION("""COMPUTED_VALUE"""),3917.0)</f>
        <v>3917</v>
      </c>
      <c r="F70" s="45">
        <f>IFERROR(__xludf.DUMMYFUNCTION("""COMPUTED_VALUE"""),3917.0)</f>
        <v>3917</v>
      </c>
      <c r="G70" s="46">
        <f>IFERROR(__xludf.DUMMYFUNCTION("""COMPUTED_VALUE"""),0.0)</f>
        <v>0</v>
      </c>
      <c r="H70" s="47">
        <f>IFERROR(__xludf.DUMMYFUNCTION("""COMPUTED_VALUE"""),0.75)</f>
        <v>0.75</v>
      </c>
    </row>
    <row r="71">
      <c r="A71" s="41" t="str">
        <f>IFERROR(__xludf.DUMMYFUNCTION("""COMPUTED_VALUE"""),"Sarah")</f>
        <v>Sarah</v>
      </c>
      <c r="B71" s="48" t="str">
        <f>IFERROR(__xludf.DUMMYFUNCTION("""COMPUTED_VALUE"""),"3909 North Oakland Gravel Road                                                                                                                                                    ")</f>
        <v>3909 North Oakland Gravel Road                                                                                                                                                    </v>
      </c>
      <c r="C71" s="42">
        <f>IFERROR(__xludf.DUMMYFUNCTION("""COMPUTED_VALUE"""),0.667)</f>
        <v>0.667</v>
      </c>
      <c r="D71" s="43">
        <f>IFERROR(__xludf.DUMMYFUNCTION("""COMPUTED_VALUE"""),0.0)</f>
        <v>0</v>
      </c>
      <c r="E71" s="44">
        <f>IFERROR(__xludf.DUMMYFUNCTION("""COMPUTED_VALUE"""),4600.0)</f>
        <v>4600</v>
      </c>
      <c r="F71" s="45">
        <f>IFERROR(__xludf.DUMMYFUNCTION("""COMPUTED_VALUE"""),4600.0)</f>
        <v>4600</v>
      </c>
      <c r="G71" s="46">
        <f>IFERROR(__xludf.DUMMYFUNCTION("""COMPUTED_VALUE"""),0.0)</f>
        <v>0</v>
      </c>
      <c r="H71" s="47">
        <f>IFERROR(__xludf.DUMMYFUNCTION("""COMPUTED_VALUE"""),0.75)</f>
        <v>0.75</v>
      </c>
    </row>
    <row r="72">
      <c r="A72" s="41" t="str">
        <f>IFERROR(__xludf.DUMMYFUNCTION("""COMPUTED_VALUE"""),"Sarah")</f>
        <v>Sarah</v>
      </c>
      <c r="B72" s="48" t="str">
        <f>IFERROR(__xludf.DUMMYFUNCTION("""COMPUTED_VALUE"""),"407 Pecan Street                                                                                                                                                  ")</f>
        <v>407 Pecan Street                                                                                                                                                  </v>
      </c>
      <c r="C72" s="42">
        <f>IFERROR(__xludf.DUMMYFUNCTION("""COMPUTED_VALUE"""),0.8)</f>
        <v>0.8</v>
      </c>
      <c r="D72" s="43">
        <f>IFERROR(__xludf.DUMMYFUNCTION("""COMPUTED_VALUE"""),0.017094017094017096)</f>
        <v>0.01709401709</v>
      </c>
      <c r="E72" s="44">
        <f>IFERROR(__xludf.DUMMYFUNCTION("""COMPUTED_VALUE"""),2875.0)</f>
        <v>2875</v>
      </c>
      <c r="F72" s="45">
        <f>IFERROR(__xludf.DUMMYFUNCTION("""COMPUTED_VALUE"""),3263.75)</f>
        <v>3263.75</v>
      </c>
      <c r="G72" s="46">
        <f>IFERROR(__xludf.DUMMYFUNCTION("""COMPUTED_VALUE"""),0.0)</f>
        <v>0</v>
      </c>
      <c r="H72" s="47">
        <f>IFERROR(__xludf.DUMMYFUNCTION("""COMPUTED_VALUE"""),1.0)</f>
        <v>1</v>
      </c>
    </row>
    <row r="73">
      <c r="A73" s="41" t="str">
        <f>IFERROR(__xludf.DUMMYFUNCTION("""COMPUTED_VALUE"""),"Sarah")</f>
        <v>Sarah</v>
      </c>
      <c r="B73" s="48" t="str">
        <f>IFERROR(__xludf.DUMMYFUNCTION("""COMPUTED_VALUE"""),"801-803 Washington Avenue                                                                                                                                                      ")</f>
        <v>801-803 Washington Avenue                                                                                                                                                      </v>
      </c>
      <c r="C73" s="42">
        <f>IFERROR(__xludf.DUMMYFUNCTION("""COMPUTED_VALUE"""),1.0)</f>
        <v>1</v>
      </c>
      <c r="D73" s="43">
        <f>IFERROR(__xludf.DUMMYFUNCTION("""COMPUTED_VALUE"""),0.08428571428571428)</f>
        <v>0.08428571429</v>
      </c>
      <c r="E73" s="44">
        <f>IFERROR(__xludf.DUMMYFUNCTION("""COMPUTED_VALUE"""),1282.0)</f>
        <v>1282</v>
      </c>
      <c r="F73" s="45">
        <f>IFERROR(__xludf.DUMMYFUNCTION("""COMPUTED_VALUE"""),1282.0)</f>
        <v>1282</v>
      </c>
      <c r="G73" s="46">
        <f>IFERROR(__xludf.DUMMYFUNCTION("""COMPUTED_VALUE"""),0.0)</f>
        <v>0</v>
      </c>
      <c r="H73" s="47">
        <f>IFERROR(__xludf.DUMMYFUNCTION("""COMPUTED_VALUE"""),1.0)</f>
        <v>1</v>
      </c>
    </row>
    <row r="74">
      <c r="A74" s="41" t="str">
        <f>IFERROR(__xludf.DUMMYFUNCTION("""COMPUTED_VALUE"""),"Sarah")</f>
        <v>Sarah</v>
      </c>
      <c r="B74" s="48" t="str">
        <f>IFERROR(__xludf.DUMMYFUNCTION("""COMPUTED_VALUE"""),"811 South Fairview Road                                                                                                                                                    ")</f>
        <v>811 South Fairview Road                                                                                                                                                    </v>
      </c>
      <c r="C74" s="42">
        <f>IFERROR(__xludf.DUMMYFUNCTION("""COMPUTED_VALUE"""),1.0)</f>
        <v>1</v>
      </c>
      <c r="D74" s="43">
        <f>IFERROR(__xludf.DUMMYFUNCTION("""COMPUTED_VALUE"""),0.5)</f>
        <v>0.5</v>
      </c>
      <c r="E74" s="44">
        <f>IFERROR(__xludf.DUMMYFUNCTION("""COMPUTED_VALUE"""),1200.0)</f>
        <v>1200</v>
      </c>
      <c r="F74" s="45">
        <f>IFERROR(__xludf.DUMMYFUNCTION("""COMPUTED_VALUE"""),1200.0)</f>
        <v>1200</v>
      </c>
      <c r="G74" s="46">
        <f>IFERROR(__xludf.DUMMYFUNCTION("""COMPUTED_VALUE"""),0.0)</f>
        <v>0</v>
      </c>
      <c r="H74" s="47">
        <f>IFERROR(__xludf.DUMMYFUNCTION("""COMPUTED_VALUE"""),1.0)</f>
        <v>1</v>
      </c>
    </row>
    <row r="75">
      <c r="A75" s="49" t="str">
        <f>IFERROR(__xludf.DUMMYFUNCTION("""COMPUTED_VALUE"""),"Sarah")</f>
        <v>Sarah</v>
      </c>
      <c r="B75" s="48" t="str">
        <f>IFERROR(__xludf.DUMMYFUNCTION("""COMPUTED_VALUE"""),"Glen Oaks ")</f>
        <v>Glen Oaks </v>
      </c>
      <c r="C75" s="42">
        <f>IFERROR(__xludf.DUMMYFUNCTION("""COMPUTED_VALUE"""),0.889)</f>
        <v>0.889</v>
      </c>
      <c r="D75" s="43">
        <f>IFERROR(__xludf.DUMMYFUNCTION("""COMPUTED_VALUE"""),0.3310417171542323)</f>
        <v>0.3310417172</v>
      </c>
      <c r="E75" s="44">
        <f>IFERROR(__xludf.DUMMYFUNCTION("""COMPUTED_VALUE"""),19322.859999999997)</f>
        <v>19322.86</v>
      </c>
      <c r="F75" s="45">
        <f>IFERROR(__xludf.DUMMYFUNCTION("""COMPUTED_VALUE"""),21832.45)</f>
        <v>21832.45</v>
      </c>
      <c r="G75" s="46">
        <f>IFERROR(__xludf.DUMMYFUNCTION("""COMPUTED_VALUE"""),0.0)</f>
        <v>0</v>
      </c>
      <c r="H75" s="47">
        <f>IFERROR(__xludf.DUMMYFUNCTION("""COMPUTED_VALUE"""),0.65625)</f>
        <v>0.65625</v>
      </c>
    </row>
    <row r="76">
      <c r="A76" s="41" t="str">
        <f>IFERROR(__xludf.DUMMYFUNCTION("""COMPUTED_VALUE"""),"Karen")</f>
        <v>Karen</v>
      </c>
      <c r="B76" s="48" t="str">
        <f>IFERROR(__xludf.DUMMYFUNCTION("""COMPUTED_VALUE"""),"Hilltop Townhomes ")</f>
        <v>Hilltop Townhomes </v>
      </c>
      <c r="C76" s="42">
        <f>IFERROR(__xludf.DUMMYFUNCTION("""COMPUTED_VALUE"""),0.725)</f>
        <v>0.725</v>
      </c>
      <c r="D76" s="43">
        <f>IFERROR(__xludf.DUMMYFUNCTION("""COMPUTED_VALUE"""),0.16428547666571616)</f>
        <v>0.1642854767</v>
      </c>
      <c r="E76" s="44">
        <f>IFERROR(__xludf.DUMMYFUNCTION("""COMPUTED_VALUE"""),31861.339999999997)</f>
        <v>31861.34</v>
      </c>
      <c r="F76" s="45">
        <f>IFERROR(__xludf.DUMMYFUNCTION("""COMPUTED_VALUE"""),39379.08)</f>
        <v>39379.08</v>
      </c>
      <c r="G76" s="46">
        <f>IFERROR(__xludf.DUMMYFUNCTION("""COMPUTED_VALUE"""),2.0)</f>
        <v>2</v>
      </c>
      <c r="H76" s="47">
        <f>IFERROR(__xludf.DUMMYFUNCTION("""COMPUTED_VALUE"""),0.7837837837837838)</f>
        <v>0.7837837838</v>
      </c>
    </row>
    <row r="77">
      <c r="A77" s="41" t="str">
        <f>IFERROR(__xludf.DUMMYFUNCTION("""COMPUTED_VALUE"""),"Sam")</f>
        <v>Sam</v>
      </c>
      <c r="B77" s="48" t="str">
        <f>IFERROR(__xludf.DUMMYFUNCTION("""COMPUTED_VALUE"""),"Maple Manor Apartments                                                                                                                                             ")</f>
        <v>Maple Manor Apartments                                                                                                                                             </v>
      </c>
      <c r="C77" s="42">
        <f>IFERROR(__xludf.DUMMYFUNCTION("""COMPUTED_VALUE"""),0.85)</f>
        <v>0.85</v>
      </c>
      <c r="D77" s="43">
        <f>IFERROR(__xludf.DUMMYFUNCTION("""COMPUTED_VALUE"""),0.1359283435105849)</f>
        <v>0.1359283435</v>
      </c>
      <c r="E77" s="44">
        <f>IFERROR(__xludf.DUMMYFUNCTION("""COMPUTED_VALUE"""),26673.46)</f>
        <v>26673.46</v>
      </c>
      <c r="F77" s="45">
        <f>IFERROR(__xludf.DUMMYFUNCTION("""COMPUTED_VALUE"""),28478.89)</f>
        <v>28478.89</v>
      </c>
      <c r="G77" s="46">
        <f>IFERROR(__xludf.DUMMYFUNCTION("""COMPUTED_VALUE"""),0.0)</f>
        <v>0</v>
      </c>
      <c r="H77" s="47">
        <f>IFERROR(__xludf.DUMMYFUNCTION("""COMPUTED_VALUE"""),0.5588235294117647)</f>
        <v>0.5588235294</v>
      </c>
    </row>
    <row r="78">
      <c r="A78" s="41" t="str">
        <f>IFERROR(__xludf.DUMMYFUNCTION("""COMPUTED_VALUE"""),"Karen")</f>
        <v>Karen</v>
      </c>
      <c r="B78" s="48" t="str">
        <f>IFERROR(__xludf.DUMMYFUNCTION("""COMPUTED_VALUE"""),"Normandy Apartments")</f>
        <v>Normandy Apartments</v>
      </c>
      <c r="C78" s="42">
        <f>IFERROR(__xludf.DUMMYFUNCTION("""COMPUTED_VALUE"""),0.955)</f>
        <v>0.955</v>
      </c>
      <c r="D78" s="43">
        <f>IFERROR(__xludf.DUMMYFUNCTION("""COMPUTED_VALUE"""),0.21090091992158044)</f>
        <v>0.2109009199</v>
      </c>
      <c r="E78" s="44">
        <f>IFERROR(__xludf.DUMMYFUNCTION("""COMPUTED_VALUE"""),12918.29)</f>
        <v>12918.29</v>
      </c>
      <c r="F78" s="45">
        <f>IFERROR(__xludf.DUMMYFUNCTION("""COMPUTED_VALUE"""),14239.29)</f>
        <v>14239.29</v>
      </c>
      <c r="G78" s="46">
        <f>IFERROR(__xludf.DUMMYFUNCTION("""COMPUTED_VALUE"""),0.0)</f>
        <v>0</v>
      </c>
      <c r="H78" s="47">
        <f>IFERROR(__xludf.DUMMYFUNCTION("""COMPUTED_VALUE"""),0.6190476190476191)</f>
        <v>0.619047619</v>
      </c>
    </row>
    <row r="79">
      <c r="A79" s="41" t="str">
        <f>IFERROR(__xludf.DUMMYFUNCTION("""COMPUTED_VALUE"""),"Sam")</f>
        <v>Sam</v>
      </c>
      <c r="B79" s="48" t="str">
        <f>IFERROR(__xludf.DUMMYFUNCTION("""COMPUTED_VALUE"""),"Oakwood Gardens ")</f>
        <v>Oakwood Gardens </v>
      </c>
      <c r="C79" s="42">
        <f>IFERROR(__xludf.DUMMYFUNCTION("""COMPUTED_VALUE"""),0.9)</f>
        <v>0.9</v>
      </c>
      <c r="D79" s="43">
        <f>IFERROR(__xludf.DUMMYFUNCTION("""COMPUTED_VALUE"""),0.3525583754255226)</f>
        <v>0.3525583754</v>
      </c>
      <c r="E79" s="44">
        <f>IFERROR(__xludf.DUMMYFUNCTION("""COMPUTED_VALUE"""),34595.59)</f>
        <v>34595.59</v>
      </c>
      <c r="F79" s="45">
        <f>IFERROR(__xludf.DUMMYFUNCTION("""COMPUTED_VALUE"""),43484.59)</f>
        <v>43484.59</v>
      </c>
      <c r="G79" s="46">
        <f>IFERROR(__xludf.DUMMYFUNCTION("""COMPUTED_VALUE"""),1.0)</f>
        <v>1</v>
      </c>
      <c r="H79" s="47">
        <f>IFERROR(__xludf.DUMMYFUNCTION("""COMPUTED_VALUE"""),0.5555555555555556)</f>
        <v>0.5555555556</v>
      </c>
    </row>
    <row r="80">
      <c r="A80" s="49" t="str">
        <f>IFERROR(__xludf.DUMMYFUNCTION("""COMPUTED_VALUE"""),"Sarah")</f>
        <v>Sarah</v>
      </c>
      <c r="B80" s="48" t="str">
        <f>IFERROR(__xludf.DUMMYFUNCTION("""COMPUTED_VALUE"""),"Pioneer Apartments ")</f>
        <v>Pioneer Apartments </v>
      </c>
      <c r="C80" s="42">
        <f>IFERROR(__xludf.DUMMYFUNCTION("""COMPUTED_VALUE"""),1.0)</f>
        <v>1</v>
      </c>
      <c r="D80" s="43">
        <f>IFERROR(__xludf.DUMMYFUNCTION("""COMPUTED_VALUE"""),0.17814321839080458)</f>
        <v>0.1781432184</v>
      </c>
      <c r="E80" s="44">
        <f>IFERROR(__xludf.DUMMYFUNCTION("""COMPUTED_VALUE"""),17624.770000000004)</f>
        <v>17624.77</v>
      </c>
      <c r="F80" s="45">
        <f>IFERROR(__xludf.DUMMYFUNCTION("""COMPUTED_VALUE"""),18826.0)</f>
        <v>18826</v>
      </c>
      <c r="G80" s="46">
        <f>IFERROR(__xludf.DUMMYFUNCTION("""COMPUTED_VALUE"""),0.0)</f>
        <v>0</v>
      </c>
      <c r="H80" s="47">
        <f>IFERROR(__xludf.DUMMYFUNCTION("""COMPUTED_VALUE"""),0.8)</f>
        <v>0.8</v>
      </c>
    </row>
    <row r="81">
      <c r="A81" s="50"/>
      <c r="B81" s="51"/>
      <c r="C81" s="52">
        <f>IFERROR(__xludf.DUMMYFUNCTION("""COMPUTED_VALUE"""),0.8681596958174904)</f>
        <v>0.8681596958</v>
      </c>
      <c r="D81" s="53">
        <f>IFERROR(__xludf.DUMMYFUNCTION("""COMPUTED_VALUE"""),0.2535239007974388)</f>
        <v>0.2535239008</v>
      </c>
      <c r="E81" s="54">
        <f>IFERROR(__xludf.DUMMYFUNCTION("""COMPUTED_VALUE"""),156870.31)</f>
        <v>156870.31</v>
      </c>
      <c r="F81" s="54">
        <f>IFERROR(__xludf.DUMMYFUNCTION("""COMPUTED_VALUE"""),180503.05)</f>
        <v>180503.05</v>
      </c>
      <c r="G81" s="55">
        <f>IFERROR(__xludf.DUMMYFUNCTION("""COMPUTED_VALUE"""),3.0)</f>
        <v>3</v>
      </c>
      <c r="H81" s="56">
        <f>IFERROR(__xludf.DUMMYFUNCTION("""COMPUTED_VALUE"""),0.6744186046511628)</f>
        <v>0.6744186047</v>
      </c>
    </row>
    <row r="82">
      <c r="A82" s="9">
        <v>45999.0</v>
      </c>
      <c r="B82" s="10"/>
      <c r="C82" s="11"/>
      <c r="D82" s="11"/>
      <c r="E82" s="12"/>
      <c r="F82" s="13"/>
      <c r="G82" s="11"/>
      <c r="H82" s="14"/>
    </row>
    <row r="83">
      <c r="A83" s="35" t="str">
        <f>IFERROR(__xludf.DUMMYFUNCTION("IFERROR(
  IMPORTRANGE(TRIM($A$1), ""'"" &amp; TRIM(A82) &amp; ""'!A282:h296""),
  """"
)"),"Sarah")</f>
        <v>Sarah</v>
      </c>
      <c r="B83" s="36"/>
      <c r="C83" s="57">
        <f>IFERROR(__xludf.DUMMYFUNCTION("""COMPUTED_VALUE"""),0.9059529411764706)</f>
        <v>0.9059529412</v>
      </c>
      <c r="D83" s="58">
        <f>IFERROR(__xludf.DUMMYFUNCTION("""COMPUTED_VALUE"""),0.8402106438314692)</f>
        <v>0.8402106438</v>
      </c>
      <c r="E83" s="59">
        <f>IFERROR(__xludf.DUMMYFUNCTION("""COMPUTED_VALUE"""),10167.92)</f>
        <v>10167.92</v>
      </c>
      <c r="F83" s="60">
        <f>IFERROR(__xludf.DUMMYFUNCTION("""COMPUTED_VALUE"""),12975.539999999999)</f>
        <v>12975.54</v>
      </c>
      <c r="G83" s="32">
        <f>IFERROR(__xludf.DUMMYFUNCTION("""COMPUTED_VALUE"""),0.0)</f>
        <v>0</v>
      </c>
      <c r="H83" s="23">
        <f>IFERROR(__xludf.DUMMYFUNCTION("""COMPUTED_VALUE"""),0.7911764705882353)</f>
        <v>0.7911764706</v>
      </c>
    </row>
    <row r="84">
      <c r="A84" s="26" t="str">
        <f>IFERROR(__xludf.DUMMYFUNCTION("""COMPUTED_VALUE"""),"Karen")</f>
        <v>Karen</v>
      </c>
      <c r="B84" s="27"/>
      <c r="C84" s="28">
        <f>IFERROR(__xludf.DUMMYFUNCTION("""COMPUTED_VALUE"""),0.7943150684931507)</f>
        <v>0.7943150685</v>
      </c>
      <c r="D84" s="29">
        <f>IFERROR(__xludf.DUMMYFUNCTION("""COMPUTED_VALUE"""),0.6723095794255337)</f>
        <v>0.6723095794</v>
      </c>
      <c r="E84" s="30">
        <f>IFERROR(__xludf.DUMMYFUNCTION("""COMPUTED_VALUE"""),15559.26)</f>
        <v>15559.26</v>
      </c>
      <c r="F84" s="31">
        <f>IFERROR(__xludf.DUMMYFUNCTION("""COMPUTED_VALUE"""),22516.010000000002)</f>
        <v>22516.01</v>
      </c>
      <c r="G84" s="32">
        <f>IFERROR(__xludf.DUMMYFUNCTION("""COMPUTED_VALUE"""),2.0)</f>
        <v>2</v>
      </c>
      <c r="H84" s="33">
        <f>IFERROR(__xludf.DUMMYFUNCTION("""COMPUTED_VALUE"""),0.7341372683838437)</f>
        <v>0.7341372684</v>
      </c>
    </row>
    <row r="85">
      <c r="A85" s="35" t="str">
        <f>IFERROR(__xludf.DUMMYFUNCTION("""COMPUTED_VALUE"""),"Sam")</f>
        <v>Sam</v>
      </c>
      <c r="B85" s="36"/>
      <c r="C85" s="37">
        <f>IFERROR(__xludf.DUMMYFUNCTION("""COMPUTED_VALUE"""),0.8888888888888888)</f>
        <v>0.8888888889</v>
      </c>
      <c r="D85" s="38">
        <f>IFERROR(__xludf.DUMMYFUNCTION("""COMPUTED_VALUE"""),0.8250077368096594)</f>
        <v>0.8250077368</v>
      </c>
      <c r="E85" s="39">
        <f>IFERROR(__xludf.DUMMYFUNCTION("""COMPUTED_VALUE"""),14703.51)</f>
        <v>14703.51</v>
      </c>
      <c r="F85" s="40">
        <f>IFERROR(__xludf.DUMMYFUNCTION("""COMPUTED_VALUE"""),21987.64)</f>
        <v>21987.64</v>
      </c>
      <c r="G85" s="32">
        <f>IFERROR(__xludf.DUMMYFUNCTION("""COMPUTED_VALUE"""),1.0)</f>
        <v>1</v>
      </c>
      <c r="H85" s="33">
        <f>IFERROR(__xludf.DUMMYFUNCTION("""COMPUTED_VALUE"""),0.5499438832772167)</f>
        <v>0.5499438833</v>
      </c>
    </row>
    <row r="86">
      <c r="A86" s="61" t="str">
        <f>IFERROR(__xludf.DUMMYFUNCTION("""COMPUTED_VALUE"""),"Sarah")</f>
        <v>Sarah</v>
      </c>
      <c r="B86" s="61" t="str">
        <f>IFERROR(__xludf.DUMMYFUNCTION("""COMPUTED_VALUE"""),"1511 Sylvan Lane                                                                                                                                                ")</f>
        <v>1511 Sylvan Lane                                                                                                                                                </v>
      </c>
      <c r="C86" s="62">
        <f>IFERROR(__xludf.DUMMYFUNCTION("""COMPUTED_VALUE"""),0.75)</f>
        <v>0.75</v>
      </c>
      <c r="D86" s="63">
        <f>IFERROR(__xludf.DUMMYFUNCTION("""COMPUTED_VALUE"""),0.7008547008547008)</f>
        <v>0.7008547009</v>
      </c>
      <c r="E86" s="64">
        <f>IFERROR(__xludf.DUMMYFUNCTION("""COMPUTED_VALUE"""),875.0)</f>
        <v>875</v>
      </c>
      <c r="F86" s="65">
        <f>IFERROR(__xludf.DUMMYFUNCTION("""COMPUTED_VALUE"""),928.75)</f>
        <v>928.75</v>
      </c>
      <c r="G86" s="66">
        <f>IFERROR(__xludf.DUMMYFUNCTION("""COMPUTED_VALUE"""),0.0)</f>
        <v>0</v>
      </c>
      <c r="H86" s="67">
        <f>IFERROR(__xludf.DUMMYFUNCTION("""COMPUTED_VALUE"""),1.0)</f>
        <v>1</v>
      </c>
    </row>
    <row r="87">
      <c r="A87" s="68" t="str">
        <f>IFERROR(__xludf.DUMMYFUNCTION("""COMPUTED_VALUE"""),"Sarah")</f>
        <v>Sarah</v>
      </c>
      <c r="B87" s="68" t="str">
        <f>IFERROR(__xludf.DUMMYFUNCTION("""COMPUTED_VALUE"""),"3909 North Oakland Gravel Road                                                                                                                                                    ")</f>
        <v>3909 North Oakland Gravel Road                                                                                                                                                    </v>
      </c>
      <c r="C87" s="69">
        <f>IFERROR(__xludf.DUMMYFUNCTION("""COMPUTED_VALUE"""),0.667)</f>
        <v>0.667</v>
      </c>
      <c r="D87" s="70">
        <f>IFERROR(__xludf.DUMMYFUNCTION("""COMPUTED_VALUE"""),0.7482993197278912)</f>
        <v>0.7482993197</v>
      </c>
      <c r="E87" s="64">
        <f>IFERROR(__xludf.DUMMYFUNCTION("""COMPUTED_VALUE"""),925.0)</f>
        <v>925</v>
      </c>
      <c r="F87" s="71">
        <f>IFERROR(__xludf.DUMMYFUNCTION("""COMPUTED_VALUE"""),980.0)</f>
        <v>980</v>
      </c>
      <c r="G87" s="66">
        <f>IFERROR(__xludf.DUMMYFUNCTION("""COMPUTED_VALUE"""),0.0)</f>
        <v>0</v>
      </c>
      <c r="H87" s="67">
        <f>IFERROR(__xludf.DUMMYFUNCTION("""COMPUTED_VALUE"""),0.75)</f>
        <v>0.75</v>
      </c>
    </row>
    <row r="88">
      <c r="A88" s="61" t="str">
        <f>IFERROR(__xludf.DUMMYFUNCTION("""COMPUTED_VALUE"""),"Sarah")</f>
        <v>Sarah</v>
      </c>
      <c r="B88" s="61" t="str">
        <f>IFERROR(__xludf.DUMMYFUNCTION("""COMPUTED_VALUE"""),"407 Pecan Street                                                                                                                                                  ")</f>
        <v>407 Pecan Street                                                                                                                                                  </v>
      </c>
      <c r="C88" s="62">
        <f>IFERROR(__xludf.DUMMYFUNCTION("""COMPUTED_VALUE"""),0.8)</f>
        <v>0.8</v>
      </c>
      <c r="D88" s="72">
        <f>IFERROR(__xludf.DUMMYFUNCTION("""COMPUTED_VALUE"""),0.7521367521367521)</f>
        <v>0.7521367521</v>
      </c>
      <c r="E88" s="73">
        <f>IFERROR(__xludf.DUMMYFUNCTION("""COMPUTED_VALUE"""),725.0)</f>
        <v>725</v>
      </c>
      <c r="F88" s="74">
        <f>IFERROR(__xludf.DUMMYFUNCTION("""COMPUTED_VALUE"""),1160.0)</f>
        <v>1160</v>
      </c>
      <c r="G88" s="66">
        <f>IFERROR(__xludf.DUMMYFUNCTION("""COMPUTED_VALUE"""),0.0)</f>
        <v>0</v>
      </c>
      <c r="H88" s="67">
        <f>IFERROR(__xludf.DUMMYFUNCTION("""COMPUTED_VALUE"""),1.0)</f>
        <v>1</v>
      </c>
    </row>
    <row r="89">
      <c r="A89" s="68" t="str">
        <f>IFERROR(__xludf.DUMMYFUNCTION("""COMPUTED_VALUE"""),"Sarah")</f>
        <v>Sarah</v>
      </c>
      <c r="B89" s="68" t="str">
        <f>IFERROR(__xludf.DUMMYFUNCTION("""COMPUTED_VALUE"""),"801-803 Washington Avenue                                                                                                                                                      ")</f>
        <v>801-803 Washington Avenue                                                                                                                                                      </v>
      </c>
      <c r="C89" s="62">
        <f>IFERROR(__xludf.DUMMYFUNCTION("""COMPUTED_VALUE"""),1.0)</f>
        <v>1</v>
      </c>
      <c r="D89" s="75">
        <f>IFERROR(__xludf.DUMMYFUNCTION("""COMPUTED_VALUE"""),0.9342857142857143)</f>
        <v>0.9342857143</v>
      </c>
      <c r="E89" s="64">
        <f>IFERROR(__xludf.DUMMYFUNCTION("""COMPUTED_VALUE"""),92.0)</f>
        <v>92</v>
      </c>
      <c r="F89" s="76">
        <f>IFERROR(__xludf.DUMMYFUNCTION("""COMPUTED_VALUE"""),92.0)</f>
        <v>92</v>
      </c>
      <c r="G89" s="66">
        <f>IFERROR(__xludf.DUMMYFUNCTION("""COMPUTED_VALUE"""),0.0)</f>
        <v>0</v>
      </c>
      <c r="H89" s="67">
        <f>IFERROR(__xludf.DUMMYFUNCTION("""COMPUTED_VALUE"""),1.0)</f>
        <v>1</v>
      </c>
    </row>
    <row r="90">
      <c r="A90" s="61" t="str">
        <f>IFERROR(__xludf.DUMMYFUNCTION("""COMPUTED_VALUE"""),"Sarah")</f>
        <v>Sarah</v>
      </c>
      <c r="B90" s="61" t="str">
        <f>IFERROR(__xludf.DUMMYFUNCTION("""COMPUTED_VALUE"""),"811 South Fairview Road                                                                                                                                                    ")</f>
        <v>811 South Fairview Road                                                                                                                                                    </v>
      </c>
      <c r="C90" s="62">
        <f>IFERROR(__xludf.DUMMYFUNCTION("""COMPUTED_VALUE"""),1.0)</f>
        <v>1</v>
      </c>
      <c r="D90" s="77">
        <f>IFERROR(__xludf.DUMMYFUNCTION("""COMPUTED_VALUE"""),1.0)</f>
        <v>1</v>
      </c>
      <c r="E90" s="78">
        <f>IFERROR(__xludf.DUMMYFUNCTION("""COMPUTED_VALUE"""),0.0)</f>
        <v>0</v>
      </c>
      <c r="F90" s="76">
        <f>IFERROR(__xludf.DUMMYFUNCTION("""COMPUTED_VALUE"""),0.0)</f>
        <v>0</v>
      </c>
      <c r="G90" s="66">
        <f>IFERROR(__xludf.DUMMYFUNCTION("""COMPUTED_VALUE"""),0.0)</f>
        <v>0</v>
      </c>
      <c r="H90" s="67">
        <f>IFERROR(__xludf.DUMMYFUNCTION("""COMPUTED_VALUE"""),1.0)</f>
        <v>1</v>
      </c>
    </row>
    <row r="91">
      <c r="A91" s="79" t="str">
        <f>IFERROR(__xludf.DUMMYFUNCTION("""COMPUTED_VALUE"""),"Sarah")</f>
        <v>Sarah</v>
      </c>
      <c r="B91" s="68" t="str">
        <f>IFERROR(__xludf.DUMMYFUNCTION("""COMPUTED_VALUE"""),"Glen Oaks ")</f>
        <v>Glen Oaks </v>
      </c>
      <c r="C91" s="80">
        <f>IFERROR(__xludf.DUMMYFUNCTION("""COMPUTED_VALUE"""),0.889)</f>
        <v>0.889</v>
      </c>
      <c r="D91" s="81">
        <f>IFERROR(__xludf.DUMMYFUNCTION("""COMPUTED_VALUE"""),0.8018670590271769)</f>
        <v>0.801867059</v>
      </c>
      <c r="E91" s="82">
        <f>IFERROR(__xludf.DUMMYFUNCTION("""COMPUTED_VALUE"""),5723.07)</f>
        <v>5723.07</v>
      </c>
      <c r="F91" s="83">
        <f>IFERROR(__xludf.DUMMYFUNCTION("""COMPUTED_VALUE"""),7866.14)</f>
        <v>7866.14</v>
      </c>
      <c r="G91" s="66">
        <f>IFERROR(__xludf.DUMMYFUNCTION("""COMPUTED_VALUE"""),0.0)</f>
        <v>0</v>
      </c>
      <c r="H91" s="67">
        <f>IFERROR(__xludf.DUMMYFUNCTION("""COMPUTED_VALUE"""),0.6875)</f>
        <v>0.6875</v>
      </c>
    </row>
    <row r="92">
      <c r="A92" s="61" t="str">
        <f>IFERROR(__xludf.DUMMYFUNCTION("""COMPUTED_VALUE"""),"Karen")</f>
        <v>Karen</v>
      </c>
      <c r="B92" s="61" t="str">
        <f>IFERROR(__xludf.DUMMYFUNCTION("""COMPUTED_VALUE"""),"Hilltop Townhomes ")</f>
        <v>Hilltop Townhomes </v>
      </c>
      <c r="C92" s="84">
        <f>IFERROR(__xludf.DUMMYFUNCTION("""COMPUTED_VALUE"""),0.725)</f>
        <v>0.725</v>
      </c>
      <c r="D92" s="81">
        <f>IFERROR(__xludf.DUMMYFUNCTION("""COMPUTED_VALUE"""),0.5789632414164667)</f>
        <v>0.5789632414</v>
      </c>
      <c r="E92" s="85">
        <f>IFERROR(__xludf.DUMMYFUNCTION("""COMPUTED_VALUE"""),14059.74)</f>
        <v>14059.74</v>
      </c>
      <c r="F92" s="86">
        <f>IFERROR(__xludf.DUMMYFUNCTION("""COMPUTED_VALUE"""),20325.49)</f>
        <v>20325.49</v>
      </c>
      <c r="G92" s="66">
        <f>IFERROR(__xludf.DUMMYFUNCTION("""COMPUTED_VALUE"""),2.0)</f>
        <v>2</v>
      </c>
      <c r="H92" s="67">
        <f>IFERROR(__xludf.DUMMYFUNCTION("""COMPUTED_VALUE"""),0.7837837837837838)</f>
        <v>0.7837837838</v>
      </c>
    </row>
    <row r="93">
      <c r="A93" s="68" t="str">
        <f>IFERROR(__xludf.DUMMYFUNCTION("""COMPUTED_VALUE"""),"Sam")</f>
        <v>Sam</v>
      </c>
      <c r="B93" s="68" t="str">
        <f>IFERROR(__xludf.DUMMYFUNCTION("""COMPUTED_VALUE"""),"Maple Manor Apartments                                                                                                                                             ")</f>
        <v>Maple Manor Apartments                                                                                                                                             </v>
      </c>
      <c r="C93" s="87">
        <f>IFERROR(__xludf.DUMMYFUNCTION("""COMPUTED_VALUE"""),0.9)</f>
        <v>0.9</v>
      </c>
      <c r="D93" s="88">
        <f>IFERROR(__xludf.DUMMYFUNCTION("""COMPUTED_VALUE"""),0.8010259285638516)</f>
        <v>0.8010259286</v>
      </c>
      <c r="E93" s="89">
        <f>IFERROR(__xludf.DUMMYFUNCTION("""COMPUTED_VALUE"""),6565.05)</f>
        <v>6565.05</v>
      </c>
      <c r="F93" s="90">
        <f>IFERROR(__xludf.DUMMYFUNCTION("""COMPUTED_VALUE"""),7547.48)</f>
        <v>7547.48</v>
      </c>
      <c r="G93" s="91">
        <f>IFERROR(__xludf.DUMMYFUNCTION("""COMPUTED_VALUE"""),0.0)</f>
        <v>0</v>
      </c>
      <c r="H93" s="92">
        <f>IFERROR(__xludf.DUMMYFUNCTION("""COMPUTED_VALUE"""),0.5555555555555556)</f>
        <v>0.5555555556</v>
      </c>
    </row>
    <row r="94">
      <c r="A94" s="61" t="str">
        <f>IFERROR(__xludf.DUMMYFUNCTION("""COMPUTED_VALUE"""),"Karen")</f>
        <v>Karen</v>
      </c>
      <c r="B94" s="61" t="str">
        <f>IFERROR(__xludf.DUMMYFUNCTION("""COMPUTED_VALUE"""),"Normandy Apartments")</f>
        <v>Normandy Apartments</v>
      </c>
      <c r="C94" s="93">
        <f>IFERROR(__xludf.DUMMYFUNCTION("""COMPUTED_VALUE"""),0.955)</f>
        <v>0.955</v>
      </c>
      <c r="D94" s="94">
        <f>IFERROR(__xludf.DUMMYFUNCTION("""COMPUTED_VALUE"""),0.8887033629920073)</f>
        <v>0.888703363</v>
      </c>
      <c r="E94" s="95">
        <f>IFERROR(__xludf.DUMMYFUNCTION("""COMPUTED_VALUE"""),1499.52)</f>
        <v>1499.52</v>
      </c>
      <c r="F94" s="96">
        <f>IFERROR(__xludf.DUMMYFUNCTION("""COMPUTED_VALUE"""),2190.52)</f>
        <v>2190.52</v>
      </c>
      <c r="G94" s="66">
        <f>IFERROR(__xludf.DUMMYFUNCTION("""COMPUTED_VALUE"""),0.0)</f>
        <v>0</v>
      </c>
      <c r="H94" s="67">
        <f>IFERROR(__xludf.DUMMYFUNCTION("""COMPUTED_VALUE"""),0.6190476190476191)</f>
        <v>0.619047619</v>
      </c>
    </row>
    <row r="95">
      <c r="A95" s="68" t="str">
        <f>IFERROR(__xludf.DUMMYFUNCTION("""COMPUTED_VALUE"""),"Sam")</f>
        <v>Sam</v>
      </c>
      <c r="B95" s="68" t="str">
        <f>IFERROR(__xludf.DUMMYFUNCTION("""COMPUTED_VALUE"""),"Oakwood Gardens ")</f>
        <v>Oakwood Gardens </v>
      </c>
      <c r="C95" s="97">
        <f>IFERROR(__xludf.DUMMYFUNCTION("""COMPUTED_VALUE"""),0.88)</f>
        <v>0.88</v>
      </c>
      <c r="D95" s="98">
        <f>IFERROR(__xludf.DUMMYFUNCTION("""COMPUTED_VALUE"""),0.8441931834063059)</f>
        <v>0.8441931834</v>
      </c>
      <c r="E95" s="99">
        <f>IFERROR(__xludf.DUMMYFUNCTION("""COMPUTED_VALUE"""),8138.46)</f>
        <v>8138.46</v>
      </c>
      <c r="F95" s="100">
        <f>IFERROR(__xludf.DUMMYFUNCTION("""COMPUTED_VALUE"""),14440.16)</f>
        <v>14440.16</v>
      </c>
      <c r="G95" s="66">
        <f>IFERROR(__xludf.DUMMYFUNCTION("""COMPUTED_VALUE"""),1.0)</f>
        <v>1</v>
      </c>
      <c r="H95" s="67">
        <f>IFERROR(__xludf.DUMMYFUNCTION("""COMPUTED_VALUE"""),0.5454545454545454)</f>
        <v>0.5454545455</v>
      </c>
    </row>
    <row r="96">
      <c r="A96" s="101" t="str">
        <f>IFERROR(__xludf.DUMMYFUNCTION("""COMPUTED_VALUE"""),"Sarah")</f>
        <v>Sarah</v>
      </c>
      <c r="B96" s="61" t="str">
        <f>IFERROR(__xludf.DUMMYFUNCTION("""COMPUTED_VALUE"""),"Pioneer Apartments ")</f>
        <v>Pioneer Apartments </v>
      </c>
      <c r="C96" s="62">
        <f>IFERROR(__xludf.DUMMYFUNCTION("""COMPUTED_VALUE"""),1.0)</f>
        <v>1</v>
      </c>
      <c r="D96" s="102">
        <f>IFERROR(__xludf.DUMMYFUNCTION("""COMPUTED_VALUE"""),0.9209406896551724)</f>
        <v>0.9209406897</v>
      </c>
      <c r="E96" s="103">
        <f>IFERROR(__xludf.DUMMYFUNCTION("""COMPUTED_VALUE"""),1827.8500000000001)</f>
        <v>1827.85</v>
      </c>
      <c r="F96" s="104">
        <f>IFERROR(__xludf.DUMMYFUNCTION("""COMPUTED_VALUE"""),1948.65)</f>
        <v>1948.65</v>
      </c>
      <c r="G96" s="66">
        <f>IFERROR(__xludf.DUMMYFUNCTION("""COMPUTED_VALUE"""),0.0)</f>
        <v>0</v>
      </c>
      <c r="H96" s="67">
        <f>IFERROR(__xludf.DUMMYFUNCTION("""COMPUTED_VALUE"""),0.8333333333333334)</f>
        <v>0.8333333333</v>
      </c>
    </row>
    <row r="97">
      <c r="A97" s="50"/>
      <c r="B97" s="51"/>
      <c r="C97" s="52">
        <f>IFERROR(__xludf.DUMMYFUNCTION("""COMPUTED_VALUE"""),0.8681596958174904)</f>
        <v>0.8681596958</v>
      </c>
      <c r="D97" s="53">
        <f>IFERROR(__xludf.DUMMYFUNCTION("""COMPUTED_VALUE"""),0.8055261287036226)</f>
        <v>0.8055261287</v>
      </c>
      <c r="E97" s="54">
        <f>IFERROR(__xludf.DUMMYFUNCTION("""COMPUTED_VALUE"""),40430.689999999995)</f>
        <v>40430.69</v>
      </c>
      <c r="F97" s="54">
        <f>IFERROR(__xludf.DUMMYFUNCTION("""COMPUTED_VALUE"""),57479.189999999995)</f>
        <v>57479.19</v>
      </c>
      <c r="G97" s="55">
        <f>IFERROR(__xludf.DUMMYFUNCTION("""COMPUTED_VALUE"""),3.0)</f>
        <v>3</v>
      </c>
      <c r="H97" s="56">
        <f>IFERROR(__xludf.DUMMYFUNCTION("""COMPUTED_VALUE"""),0.6837209302325581)</f>
        <v>0.6837209302</v>
      </c>
    </row>
    <row r="98">
      <c r="A98" s="9">
        <v>46006.0</v>
      </c>
      <c r="B98" s="10"/>
      <c r="C98" s="11"/>
      <c r="D98" s="11"/>
      <c r="E98" s="12"/>
      <c r="F98" s="13"/>
      <c r="G98" s="11"/>
      <c r="H98" s="14"/>
    </row>
    <row r="99">
      <c r="A99" s="35" t="str">
        <f>IFERROR(__xludf.DUMMYFUNCTION("IFERROR(
  IMPORTRANGE(TRIM($A$1), ""'"" &amp; TRIM(A98) &amp; ""'!A282:h296""),
  """"
)"),"Sarah")</f>
        <v>Sarah</v>
      </c>
      <c r="B99" s="36"/>
      <c r="C99" s="57">
        <f>IFERROR(__xludf.DUMMYFUNCTION("""COMPUTED_VALUE"""),0.9059529411764706)</f>
        <v>0.9059529412</v>
      </c>
      <c r="D99" s="58">
        <f>IFERROR(__xludf.DUMMYFUNCTION("""COMPUTED_VALUE"""),0.9063765904085754)</f>
        <v>0.9063765904</v>
      </c>
      <c r="E99" s="59">
        <f>IFERROR(__xludf.DUMMYFUNCTION("""COMPUTED_VALUE"""),5765.59)</f>
        <v>5765.59</v>
      </c>
      <c r="F99" s="60">
        <f>IFERROR(__xludf.DUMMYFUNCTION("""COMPUTED_VALUE"""),8534.09)</f>
        <v>8534.09</v>
      </c>
      <c r="G99" s="32">
        <f>IFERROR(__xludf.DUMMYFUNCTION("""COMPUTED_VALUE"""),2.0)</f>
        <v>2</v>
      </c>
      <c r="H99" s="23">
        <f>IFERROR(__xludf.DUMMYFUNCTION("""COMPUTED_VALUE"""),0.7897058823529411)</f>
        <v>0.7897058824</v>
      </c>
    </row>
    <row r="100">
      <c r="A100" s="26" t="str">
        <f>IFERROR(__xludf.DUMMYFUNCTION("""COMPUTED_VALUE"""),"Karen")</f>
        <v>Karen</v>
      </c>
      <c r="B100" s="27"/>
      <c r="C100" s="28">
        <f>IFERROR(__xludf.DUMMYFUNCTION("""COMPUTED_VALUE"""),0.8082876712328767)</f>
        <v>0.8082876712</v>
      </c>
      <c r="D100" s="29">
        <f>IFERROR(__xludf.DUMMYFUNCTION("""COMPUTED_VALUE"""),0.7631710914948932)</f>
        <v>0.7631710915</v>
      </c>
      <c r="E100" s="30">
        <f>IFERROR(__xludf.DUMMYFUNCTION("""COMPUTED_VALUE"""),9870.960000000001)</f>
        <v>9870.96</v>
      </c>
      <c r="F100" s="31">
        <f>IFERROR(__xludf.DUMMYFUNCTION("""COMPUTED_VALUE"""),17202.21)</f>
        <v>17202.21</v>
      </c>
      <c r="G100" s="32">
        <f>IFERROR(__xludf.DUMMYFUNCTION("""COMPUTED_VALUE"""),2.0)</f>
        <v>2</v>
      </c>
      <c r="H100" s="33">
        <f>IFERROR(__xludf.DUMMYFUNCTION("""COMPUTED_VALUE"""),0.7564974079033199)</f>
        <v>0.7564974079</v>
      </c>
    </row>
    <row r="101">
      <c r="A101" s="35" t="str">
        <f>IFERROR(__xludf.DUMMYFUNCTION("""COMPUTED_VALUE"""),"Sam")</f>
        <v>Sam</v>
      </c>
      <c r="B101" s="36"/>
      <c r="C101" s="37">
        <f>IFERROR(__xludf.DUMMYFUNCTION("""COMPUTED_VALUE"""),0.8888888888888888)</f>
        <v>0.8888888889</v>
      </c>
      <c r="D101" s="38">
        <f>IFERROR(__xludf.DUMMYFUNCTION("""COMPUTED_VALUE"""),0.9260220624547075)</f>
        <v>0.9260220625</v>
      </c>
      <c r="E101" s="39">
        <f>IFERROR(__xludf.DUMMYFUNCTION("""COMPUTED_VALUE"""),5933.949999999999)</f>
        <v>5933.95</v>
      </c>
      <c r="F101" s="40">
        <f>IFERROR(__xludf.DUMMYFUNCTION("""COMPUTED_VALUE"""),12402.33)</f>
        <v>12402.33</v>
      </c>
      <c r="G101" s="32">
        <f>IFERROR(__xludf.DUMMYFUNCTION("""COMPUTED_VALUE"""),1.0)</f>
        <v>1</v>
      </c>
      <c r="H101" s="33">
        <f>IFERROR(__xludf.DUMMYFUNCTION("""COMPUTED_VALUE"""),0.5998877665544332)</f>
        <v>0.5998877666</v>
      </c>
    </row>
    <row r="102">
      <c r="A102" s="61" t="str">
        <f>IFERROR(__xludf.DUMMYFUNCTION("""COMPUTED_VALUE"""),"Sarah")</f>
        <v>Sarah</v>
      </c>
      <c r="B102" s="61" t="str">
        <f>IFERROR(__xludf.DUMMYFUNCTION("""COMPUTED_VALUE"""),"1511 Sylvan Lane                                                                                                                                                ")</f>
        <v>1511 Sylvan Lane                                                                                                                                                </v>
      </c>
      <c r="C102" s="62">
        <f>IFERROR(__xludf.DUMMYFUNCTION("""COMPUTED_VALUE"""),0.75)</f>
        <v>0.75</v>
      </c>
      <c r="D102" s="63">
        <f>IFERROR(__xludf.DUMMYFUNCTION("""COMPUTED_VALUE"""),0.7008547008547008)</f>
        <v>0.7008547009</v>
      </c>
      <c r="E102" s="64">
        <f>IFERROR(__xludf.DUMMYFUNCTION("""COMPUTED_VALUE"""),875.0)</f>
        <v>875</v>
      </c>
      <c r="F102" s="65">
        <f>IFERROR(__xludf.DUMMYFUNCTION("""COMPUTED_VALUE"""),908.75)</f>
        <v>908.75</v>
      </c>
      <c r="G102" s="66">
        <f>IFERROR(__xludf.DUMMYFUNCTION("""COMPUTED_VALUE"""),0.0)</f>
        <v>0</v>
      </c>
      <c r="H102" s="67">
        <f>IFERROR(__xludf.DUMMYFUNCTION("""COMPUTED_VALUE"""),1.0)</f>
        <v>1</v>
      </c>
    </row>
    <row r="103">
      <c r="A103" s="68" t="str">
        <f>IFERROR(__xludf.DUMMYFUNCTION("""COMPUTED_VALUE"""),"Sarah")</f>
        <v>Sarah</v>
      </c>
      <c r="B103" s="68" t="str">
        <f>IFERROR(__xludf.DUMMYFUNCTION("""COMPUTED_VALUE"""),"3909 North Oakland Gravel Road                                                                                                                                                    ")</f>
        <v>3909 North Oakland Gravel Road                                                                                                                                                    </v>
      </c>
      <c r="C103" s="69">
        <f>IFERROR(__xludf.DUMMYFUNCTION("""COMPUTED_VALUE"""),0.667)</f>
        <v>0.667</v>
      </c>
      <c r="D103" s="70">
        <f>IFERROR(__xludf.DUMMYFUNCTION("""COMPUTED_VALUE"""),1.0)</f>
        <v>1</v>
      </c>
      <c r="E103" s="64">
        <f>IFERROR(__xludf.DUMMYFUNCTION("""COMPUTED_VALUE"""),0.0)</f>
        <v>0</v>
      </c>
      <c r="F103" s="71">
        <f>IFERROR(__xludf.DUMMYFUNCTION("""COMPUTED_VALUE"""),0.0)</f>
        <v>0</v>
      </c>
      <c r="G103" s="66">
        <f>IFERROR(__xludf.DUMMYFUNCTION("""COMPUTED_VALUE"""),0.0)</f>
        <v>0</v>
      </c>
      <c r="H103" s="67">
        <f>IFERROR(__xludf.DUMMYFUNCTION("""COMPUTED_VALUE"""),0.75)</f>
        <v>0.75</v>
      </c>
    </row>
    <row r="104">
      <c r="A104" s="61" t="str">
        <f>IFERROR(__xludf.DUMMYFUNCTION("""COMPUTED_VALUE"""),"Sarah")</f>
        <v>Sarah</v>
      </c>
      <c r="B104" s="61" t="str">
        <f>IFERROR(__xludf.DUMMYFUNCTION("""COMPUTED_VALUE"""),"407 Pecan Street                                                                                                                                                  ")</f>
        <v>407 Pecan Street                                                                                                                                                  </v>
      </c>
      <c r="C104" s="62">
        <f>IFERROR(__xludf.DUMMYFUNCTION("""COMPUTED_VALUE"""),0.8)</f>
        <v>0.8</v>
      </c>
      <c r="D104" s="72">
        <f>IFERROR(__xludf.DUMMYFUNCTION("""COMPUTED_VALUE"""),0.7521367521367521)</f>
        <v>0.7521367521</v>
      </c>
      <c r="E104" s="73">
        <f>IFERROR(__xludf.DUMMYFUNCTION("""COMPUTED_VALUE"""),725.0)</f>
        <v>725</v>
      </c>
      <c r="F104" s="74">
        <f>IFERROR(__xludf.DUMMYFUNCTION("""COMPUTED_VALUE"""),1230.0)</f>
        <v>1230</v>
      </c>
      <c r="G104" s="66">
        <f>IFERROR(__xludf.DUMMYFUNCTION("""COMPUTED_VALUE"""),0.0)</f>
        <v>0</v>
      </c>
      <c r="H104" s="67">
        <f>IFERROR(__xludf.DUMMYFUNCTION("""COMPUTED_VALUE"""),1.0)</f>
        <v>1</v>
      </c>
    </row>
    <row r="105">
      <c r="A105" s="68" t="str">
        <f>IFERROR(__xludf.DUMMYFUNCTION("""COMPUTED_VALUE"""),"Sarah")</f>
        <v>Sarah</v>
      </c>
      <c r="B105" s="68" t="str">
        <f>IFERROR(__xludf.DUMMYFUNCTION("""COMPUTED_VALUE"""),"801-803 Washington Avenue                                                                                                                                                      ")</f>
        <v>801-803 Washington Avenue                                                                                                                                                      </v>
      </c>
      <c r="C105" s="62">
        <f>IFERROR(__xludf.DUMMYFUNCTION("""COMPUTED_VALUE"""),1.0)</f>
        <v>1</v>
      </c>
      <c r="D105" s="75">
        <f>IFERROR(__xludf.DUMMYFUNCTION("""COMPUTED_VALUE"""),1.0645714285714287)</f>
        <v>1.064571429</v>
      </c>
      <c r="E105" s="64">
        <f>IFERROR(__xludf.DUMMYFUNCTION("""COMPUTED_VALUE"""),-90.4)</f>
        <v>-90.4</v>
      </c>
      <c r="F105" s="76">
        <f>IFERROR(__xludf.DUMMYFUNCTION("""COMPUTED_VALUE"""),-90.4)</f>
        <v>-90.4</v>
      </c>
      <c r="G105" s="66">
        <f>IFERROR(__xludf.DUMMYFUNCTION("""COMPUTED_VALUE"""),0.0)</f>
        <v>0</v>
      </c>
      <c r="H105" s="67">
        <f>IFERROR(__xludf.DUMMYFUNCTION("""COMPUTED_VALUE"""),1.0)</f>
        <v>1</v>
      </c>
    </row>
    <row r="106">
      <c r="A106" s="61" t="str">
        <f>IFERROR(__xludf.DUMMYFUNCTION("""COMPUTED_VALUE"""),"Sarah")</f>
        <v>Sarah</v>
      </c>
      <c r="B106" s="61" t="str">
        <f>IFERROR(__xludf.DUMMYFUNCTION("""COMPUTED_VALUE"""),"811 South Fairview Road                                                                                                                                                    ")</f>
        <v>811 South Fairview Road                                                                                                                                                    </v>
      </c>
      <c r="C106" s="62">
        <f>IFERROR(__xludf.DUMMYFUNCTION("""COMPUTED_VALUE"""),1.0)</f>
        <v>1</v>
      </c>
      <c r="D106" s="77">
        <f>IFERROR(__xludf.DUMMYFUNCTION("""COMPUTED_VALUE"""),1.0)</f>
        <v>1</v>
      </c>
      <c r="E106" s="78">
        <f>IFERROR(__xludf.DUMMYFUNCTION("""COMPUTED_VALUE"""),0.0)</f>
        <v>0</v>
      </c>
      <c r="F106" s="76">
        <f>IFERROR(__xludf.DUMMYFUNCTION("""COMPUTED_VALUE"""),0.0)</f>
        <v>0</v>
      </c>
      <c r="G106" s="66">
        <f>IFERROR(__xludf.DUMMYFUNCTION("""COMPUTED_VALUE"""),1.0)</f>
        <v>1</v>
      </c>
      <c r="H106" s="67">
        <f>IFERROR(__xludf.DUMMYFUNCTION("""COMPUTED_VALUE"""),1.0)</f>
        <v>1</v>
      </c>
    </row>
    <row r="107">
      <c r="A107" s="79" t="str">
        <f>IFERROR(__xludf.DUMMYFUNCTION("""COMPUTED_VALUE"""),"Sarah")</f>
        <v>Sarah</v>
      </c>
      <c r="B107" s="68" t="str">
        <f>IFERROR(__xludf.DUMMYFUNCTION("""COMPUTED_VALUE"""),"Glen Oaks ")</f>
        <v>Glen Oaks </v>
      </c>
      <c r="C107" s="80">
        <f>IFERROR(__xludf.DUMMYFUNCTION("""COMPUTED_VALUE"""),0.889)</f>
        <v>0.889</v>
      </c>
      <c r="D107" s="81">
        <f>IFERROR(__xludf.DUMMYFUNCTION("""COMPUTED_VALUE"""),0.8954346533917825)</f>
        <v>0.8954346534</v>
      </c>
      <c r="E107" s="82">
        <f>IFERROR(__xludf.DUMMYFUNCTION("""COMPUTED_VALUE"""),2814.69)</f>
        <v>2814.69</v>
      </c>
      <c r="F107" s="83">
        <f>IFERROR(__xludf.DUMMYFUNCTION("""COMPUTED_VALUE"""),4783.64)</f>
        <v>4783.64</v>
      </c>
      <c r="G107" s="66">
        <f>IFERROR(__xludf.DUMMYFUNCTION("""COMPUTED_VALUE"""),1.0)</f>
        <v>1</v>
      </c>
      <c r="H107" s="67">
        <f>IFERROR(__xludf.DUMMYFUNCTION("""COMPUTED_VALUE"""),0.65625)</f>
        <v>0.65625</v>
      </c>
    </row>
    <row r="108">
      <c r="A108" s="61" t="str">
        <f>IFERROR(__xludf.DUMMYFUNCTION("""COMPUTED_VALUE"""),"Karen")</f>
        <v>Karen</v>
      </c>
      <c r="B108" s="61" t="str">
        <f>IFERROR(__xludf.DUMMYFUNCTION("""COMPUTED_VALUE"""),"Hilltop Townhomes ")</f>
        <v>Hilltop Townhomes </v>
      </c>
      <c r="C108" s="84">
        <f>IFERROR(__xludf.DUMMYFUNCTION("""COMPUTED_VALUE"""),0.745)</f>
        <v>0.745</v>
      </c>
      <c r="D108" s="81">
        <f>IFERROR(__xludf.DUMMYFUNCTION("""COMPUTED_VALUE"""),0.706429155110935)</f>
        <v>0.7064291551</v>
      </c>
      <c r="E108" s="85">
        <f>IFERROR(__xludf.DUMMYFUNCTION("""COMPUTED_VALUE"""),8264.94)</f>
        <v>8264.94</v>
      </c>
      <c r="F108" s="86">
        <f>IFERROR(__xludf.DUMMYFUNCTION("""COMPUTED_VALUE"""),15446.19)</f>
        <v>15446.19</v>
      </c>
      <c r="G108" s="66">
        <f>IFERROR(__xludf.DUMMYFUNCTION("""COMPUTED_VALUE"""),2.0)</f>
        <v>2</v>
      </c>
      <c r="H108" s="67">
        <f>IFERROR(__xludf.DUMMYFUNCTION("""COMPUTED_VALUE"""),0.8157894736842105)</f>
        <v>0.8157894737</v>
      </c>
    </row>
    <row r="109">
      <c r="A109" s="68" t="str">
        <f>IFERROR(__xludf.DUMMYFUNCTION("""COMPUTED_VALUE"""),"Sam")</f>
        <v>Sam</v>
      </c>
      <c r="B109" s="68" t="str">
        <f>IFERROR(__xludf.DUMMYFUNCTION("""COMPUTED_VALUE"""),"Maple Manor Apartments                                                                                                                                             ")</f>
        <v>Maple Manor Apartments                                                                                                                                             </v>
      </c>
      <c r="C109" s="87">
        <f>IFERROR(__xludf.DUMMYFUNCTION("""COMPUTED_VALUE"""),0.9)</f>
        <v>0.9</v>
      </c>
      <c r="D109" s="88">
        <f>IFERROR(__xludf.DUMMYFUNCTION("""COMPUTED_VALUE"""),0.8877374263808764)</f>
        <v>0.8877374264</v>
      </c>
      <c r="E109" s="89">
        <f>IFERROR(__xludf.DUMMYFUNCTION("""COMPUTED_VALUE"""),3726.5)</f>
        <v>3726.5</v>
      </c>
      <c r="F109" s="90">
        <f>IFERROR(__xludf.DUMMYFUNCTION("""COMPUTED_VALUE"""),4808.43)</f>
        <v>4808.43</v>
      </c>
      <c r="G109" s="91">
        <f>IFERROR(__xludf.DUMMYFUNCTION("""COMPUTED_VALUE"""),0.0)</f>
        <v>0</v>
      </c>
      <c r="H109" s="92">
        <f>IFERROR(__xludf.DUMMYFUNCTION("""COMPUTED_VALUE"""),0.6111111111111112)</f>
        <v>0.6111111111</v>
      </c>
    </row>
    <row r="110">
      <c r="A110" s="61" t="str">
        <f>IFERROR(__xludf.DUMMYFUNCTION("""COMPUTED_VALUE"""),"Karen")</f>
        <v>Karen</v>
      </c>
      <c r="B110" s="61" t="str">
        <f>IFERROR(__xludf.DUMMYFUNCTION("""COMPUTED_VALUE"""),"Normandy Apartments")</f>
        <v>Normandy Apartments</v>
      </c>
      <c r="C110" s="93">
        <f>IFERROR(__xludf.DUMMYFUNCTION("""COMPUTED_VALUE"""),0.955)</f>
        <v>0.955</v>
      </c>
      <c r="D110" s="94">
        <f>IFERROR(__xludf.DUMMYFUNCTION("""COMPUTED_VALUE"""),0.8947092167486141)</f>
        <v>0.8947092167</v>
      </c>
      <c r="E110" s="95">
        <f>IFERROR(__xludf.DUMMYFUNCTION("""COMPUTED_VALUE"""),1606.02)</f>
        <v>1606.02</v>
      </c>
      <c r="F110" s="96">
        <f>IFERROR(__xludf.DUMMYFUNCTION("""COMPUTED_VALUE"""),1756.02)</f>
        <v>1756.02</v>
      </c>
      <c r="G110" s="66">
        <f>IFERROR(__xludf.DUMMYFUNCTION("""COMPUTED_VALUE"""),0.0)</f>
        <v>0</v>
      </c>
      <c r="H110" s="67">
        <f>IFERROR(__xludf.DUMMYFUNCTION("""COMPUTED_VALUE"""),0.6190476190476191)</f>
        <v>0.619047619</v>
      </c>
    </row>
    <row r="111">
      <c r="A111" s="68" t="str">
        <f>IFERROR(__xludf.DUMMYFUNCTION("""COMPUTED_VALUE"""),"Sam")</f>
        <v>Sam</v>
      </c>
      <c r="B111" s="68" t="str">
        <f>IFERROR(__xludf.DUMMYFUNCTION("""COMPUTED_VALUE"""),"Oakwood Gardens ")</f>
        <v>Oakwood Gardens </v>
      </c>
      <c r="C111" s="97">
        <f>IFERROR(__xludf.DUMMYFUNCTION("""COMPUTED_VALUE"""),0.88)</f>
        <v>0.88</v>
      </c>
      <c r="D111" s="98">
        <f>IFERROR(__xludf.DUMMYFUNCTION("""COMPUTED_VALUE"""),0.9566497713137724)</f>
        <v>0.9566497713</v>
      </c>
      <c r="E111" s="99">
        <f>IFERROR(__xludf.DUMMYFUNCTION("""COMPUTED_VALUE"""),2207.4499999999994)</f>
        <v>2207.45</v>
      </c>
      <c r="F111" s="100">
        <f>IFERROR(__xludf.DUMMYFUNCTION("""COMPUTED_VALUE"""),7593.9)</f>
        <v>7593.9</v>
      </c>
      <c r="G111" s="66">
        <f>IFERROR(__xludf.DUMMYFUNCTION("""COMPUTED_VALUE"""),1.0)</f>
        <v>1</v>
      </c>
      <c r="H111" s="67">
        <f>IFERROR(__xludf.DUMMYFUNCTION("""COMPUTED_VALUE"""),0.5909090909090909)</f>
        <v>0.5909090909</v>
      </c>
    </row>
    <row r="112">
      <c r="A112" s="101" t="str">
        <f>IFERROR(__xludf.DUMMYFUNCTION("""COMPUTED_VALUE"""),"Sarah")</f>
        <v>Sarah</v>
      </c>
      <c r="B112" s="61" t="str">
        <f>IFERROR(__xludf.DUMMYFUNCTION("""COMPUTED_VALUE"""),"Pioneer Apartments ")</f>
        <v>Pioneer Apartments </v>
      </c>
      <c r="C112" s="62">
        <f>IFERROR(__xludf.DUMMYFUNCTION("""COMPUTED_VALUE"""),1.0)</f>
        <v>1</v>
      </c>
      <c r="D112" s="102">
        <f>IFERROR(__xludf.DUMMYFUNCTION("""COMPUTED_VALUE"""),0.9371039080459771)</f>
        <v>0.937103908</v>
      </c>
      <c r="E112" s="103">
        <f>IFERROR(__xludf.DUMMYFUNCTION("""COMPUTED_VALUE"""),1441.3000000000002)</f>
        <v>1441.3</v>
      </c>
      <c r="F112" s="104">
        <f>IFERROR(__xludf.DUMMYFUNCTION("""COMPUTED_VALUE"""),1702.1)</f>
        <v>1702.1</v>
      </c>
      <c r="G112" s="66">
        <f>IFERROR(__xludf.DUMMYFUNCTION("""COMPUTED_VALUE"""),0.0)</f>
        <v>0</v>
      </c>
      <c r="H112" s="67">
        <f>IFERROR(__xludf.DUMMYFUNCTION("""COMPUTED_VALUE"""),0.8666666666666667)</f>
        <v>0.8666666667</v>
      </c>
    </row>
    <row r="113">
      <c r="A113" s="50"/>
      <c r="B113" s="51"/>
      <c r="C113" s="52">
        <f>IFERROR(__xludf.DUMMYFUNCTION("""COMPUTED_VALUE"""),0.8720380228136883)</f>
        <v>0.8720380228</v>
      </c>
      <c r="D113" s="53">
        <f>IFERROR(__xludf.DUMMYFUNCTION("""COMPUTED_VALUE"""),0.8938962882514911)</f>
        <v>0.8938962883</v>
      </c>
      <c r="E113" s="54">
        <f>IFERROR(__xludf.DUMMYFUNCTION("""COMPUTED_VALUE"""),21570.5)</f>
        <v>21570.5</v>
      </c>
      <c r="F113" s="54">
        <f>IFERROR(__xludf.DUMMYFUNCTION("""COMPUTED_VALUE"""),38138.63)</f>
        <v>38138.63</v>
      </c>
      <c r="G113" s="55">
        <f>IFERROR(__xludf.DUMMYFUNCTION("""COMPUTED_VALUE"""),5.0)</f>
        <v>5</v>
      </c>
      <c r="H113" s="56">
        <f>IFERROR(__xludf.DUMMYFUNCTION("""COMPUTED_VALUE"""),0.7083333333333334)</f>
        <v>0.7083333333</v>
      </c>
    </row>
    <row r="114">
      <c r="A114" s="9">
        <v>46013.0</v>
      </c>
      <c r="B114" s="10"/>
      <c r="C114" s="11"/>
      <c r="D114" s="11"/>
      <c r="E114" s="12"/>
      <c r="F114" s="13"/>
      <c r="G114" s="11"/>
      <c r="H114" s="14"/>
    </row>
    <row r="115">
      <c r="A115" s="35" t="str">
        <f>IFERROR(__xludf.DUMMYFUNCTION("IFERROR(
  IMPORTRANGE(TRIM($A$1), ""'"" &amp; TRIM(A114) &amp; ""'!A282:h296""),
  """"
)"),"Sarah")</f>
        <v>Sarah</v>
      </c>
      <c r="B115" s="36"/>
      <c r="C115" s="57">
        <f>IFERROR(__xludf.DUMMYFUNCTION("""COMPUTED_VALUE"""),0.9059529411764706)</f>
        <v>0.9059529412</v>
      </c>
      <c r="D115" s="58">
        <f>IFERROR(__xludf.DUMMYFUNCTION("""COMPUTED_VALUE"""),0.9308796330049244)</f>
        <v>0.930879633</v>
      </c>
      <c r="E115" s="59">
        <f>IFERROR(__xludf.DUMMYFUNCTION("""COMPUTED_VALUE"""),4220.59)</f>
        <v>4220.59</v>
      </c>
      <c r="F115" s="60">
        <f>IFERROR(__xludf.DUMMYFUNCTION("""COMPUTED_VALUE"""),7674.09)</f>
        <v>7674.09</v>
      </c>
      <c r="G115" s="32">
        <f>IFERROR(__xludf.DUMMYFUNCTION("""COMPUTED_VALUE"""),2.0)</f>
        <v>2</v>
      </c>
      <c r="H115" s="23">
        <f>IFERROR(__xludf.DUMMYFUNCTION("""COMPUTED_VALUE"""),0.8029411764705883)</f>
        <v>0.8029411765</v>
      </c>
    </row>
    <row r="116">
      <c r="A116" s="26" t="str">
        <f>IFERROR(__xludf.DUMMYFUNCTION("""COMPUTED_VALUE"""),"Karen")</f>
        <v>Karen</v>
      </c>
      <c r="B116" s="27"/>
      <c r="C116" s="28">
        <f>IFERROR(__xludf.DUMMYFUNCTION("""COMPUTED_VALUE"""),0.8222602739726027)</f>
        <v>0.822260274</v>
      </c>
      <c r="D116" s="29">
        <f>IFERROR(__xludf.DUMMYFUNCTION("""COMPUTED_VALUE"""),0.8278291083319498)</f>
        <v>0.8278291083</v>
      </c>
      <c r="E116" s="30">
        <f>IFERROR(__xludf.DUMMYFUNCTION("""COMPUTED_VALUE"""),7694.460000000001)</f>
        <v>7694.46</v>
      </c>
      <c r="F116" s="31">
        <f>IFERROR(__xludf.DUMMYFUNCTION("""COMPUTED_VALUE"""),13448.210000000001)</f>
        <v>13448.21</v>
      </c>
      <c r="G116" s="32">
        <f>IFERROR(__xludf.DUMMYFUNCTION("""COMPUTED_VALUE"""),2.0)</f>
        <v>2</v>
      </c>
      <c r="H116" s="33">
        <f>IFERROR(__xludf.DUMMYFUNCTION("""COMPUTED_VALUE"""),0.7597972803452255)</f>
        <v>0.7597972803</v>
      </c>
    </row>
    <row r="117">
      <c r="A117" s="35" t="str">
        <f>IFERROR(__xludf.DUMMYFUNCTION("""COMPUTED_VALUE"""),"Sam")</f>
        <v>Sam</v>
      </c>
      <c r="B117" s="36"/>
      <c r="C117" s="37">
        <f>IFERROR(__xludf.DUMMYFUNCTION("""COMPUTED_VALUE"""),0.8888888888888888)</f>
        <v>0.8888888889</v>
      </c>
      <c r="D117" s="38">
        <f>IFERROR(__xludf.DUMMYFUNCTION("""COMPUTED_VALUE"""),0.9363454283595913)</f>
        <v>0.9363454284</v>
      </c>
      <c r="E117" s="39">
        <f>IFERROR(__xludf.DUMMYFUNCTION("""COMPUTED_VALUE"""),5214.949999999999)</f>
        <v>5214.95</v>
      </c>
      <c r="F117" s="40">
        <f>IFERROR(__xludf.DUMMYFUNCTION("""COMPUTED_VALUE"""),11768.33)</f>
        <v>11768.33</v>
      </c>
      <c r="G117" s="32">
        <f>IFERROR(__xludf.DUMMYFUNCTION("""COMPUTED_VALUE"""),1.0)</f>
        <v>1</v>
      </c>
      <c r="H117" s="33">
        <f>IFERROR(__xludf.DUMMYFUNCTION("""COMPUTED_VALUE"""),0.6618967452300786)</f>
        <v>0.6618967452</v>
      </c>
    </row>
    <row r="118">
      <c r="A118" s="61" t="str">
        <f>IFERROR(__xludf.DUMMYFUNCTION("""COMPUTED_VALUE"""),"Sarah")</f>
        <v>Sarah</v>
      </c>
      <c r="B118" s="61" t="str">
        <f>IFERROR(__xludf.DUMMYFUNCTION("""COMPUTED_VALUE"""),"1511 Sylvan Lane                                                                                                                                                ")</f>
        <v>1511 Sylvan Lane                                                                                                                                                </v>
      </c>
      <c r="C118" s="62">
        <f>IFERROR(__xludf.DUMMYFUNCTION("""COMPUTED_VALUE"""),0.75)</f>
        <v>0.75</v>
      </c>
      <c r="D118" s="63">
        <f>IFERROR(__xludf.DUMMYFUNCTION("""COMPUTED_VALUE"""),0.7008547008547008)</f>
        <v>0.7008547009</v>
      </c>
      <c r="E118" s="64">
        <f>IFERROR(__xludf.DUMMYFUNCTION("""COMPUTED_VALUE"""),875.0)</f>
        <v>875</v>
      </c>
      <c r="F118" s="65">
        <f>IFERROR(__xludf.DUMMYFUNCTION("""COMPUTED_VALUE"""),978.75)</f>
        <v>978.75</v>
      </c>
      <c r="G118" s="66">
        <f>IFERROR(__xludf.DUMMYFUNCTION("""COMPUTED_VALUE"""),0.0)</f>
        <v>0</v>
      </c>
      <c r="H118" s="67">
        <f>IFERROR(__xludf.DUMMYFUNCTION("""COMPUTED_VALUE"""),1.0)</f>
        <v>1</v>
      </c>
    </row>
    <row r="119">
      <c r="A119" s="68" t="str">
        <f>IFERROR(__xludf.DUMMYFUNCTION("""COMPUTED_VALUE"""),"Sarah")</f>
        <v>Sarah</v>
      </c>
      <c r="B119" s="68" t="str">
        <f>IFERROR(__xludf.DUMMYFUNCTION("""COMPUTED_VALUE"""),"3909 North Oakland Gravel Road                                                                                                                                                    ")</f>
        <v>3909 North Oakland Gravel Road                                                                                                                                                    </v>
      </c>
      <c r="C119" s="69">
        <f>IFERROR(__xludf.DUMMYFUNCTION("""COMPUTED_VALUE"""),0.667)</f>
        <v>0.667</v>
      </c>
      <c r="D119" s="70">
        <f>IFERROR(__xludf.DUMMYFUNCTION("""COMPUTED_VALUE"""),1.0)</f>
        <v>1</v>
      </c>
      <c r="E119" s="64">
        <f>IFERROR(__xludf.DUMMYFUNCTION("""COMPUTED_VALUE"""),0.0)</f>
        <v>0</v>
      </c>
      <c r="F119" s="71">
        <f>IFERROR(__xludf.DUMMYFUNCTION("""COMPUTED_VALUE"""),0.0)</f>
        <v>0</v>
      </c>
      <c r="G119" s="66">
        <f>IFERROR(__xludf.DUMMYFUNCTION("""COMPUTED_VALUE"""),0.0)</f>
        <v>0</v>
      </c>
      <c r="H119" s="67">
        <f>IFERROR(__xludf.DUMMYFUNCTION("""COMPUTED_VALUE"""),0.75)</f>
        <v>0.75</v>
      </c>
    </row>
    <row r="120">
      <c r="A120" s="61" t="str">
        <f>IFERROR(__xludf.DUMMYFUNCTION("""COMPUTED_VALUE"""),"Sarah")</f>
        <v>Sarah</v>
      </c>
      <c r="B120" s="61" t="str">
        <f>IFERROR(__xludf.DUMMYFUNCTION("""COMPUTED_VALUE"""),"407 Pecan Street                                                                                                                                                  ")</f>
        <v>407 Pecan Street                                                                                                                                                  </v>
      </c>
      <c r="C120" s="62">
        <f>IFERROR(__xludf.DUMMYFUNCTION("""COMPUTED_VALUE"""),0.8)</f>
        <v>0.8</v>
      </c>
      <c r="D120" s="72">
        <f>IFERROR(__xludf.DUMMYFUNCTION("""COMPUTED_VALUE"""),0.7521367521367521)</f>
        <v>0.7521367521</v>
      </c>
      <c r="E120" s="73">
        <f>IFERROR(__xludf.DUMMYFUNCTION("""COMPUTED_VALUE"""),725.0)</f>
        <v>725</v>
      </c>
      <c r="F120" s="74">
        <f>IFERROR(__xludf.DUMMYFUNCTION("""COMPUTED_VALUE"""),1600.0)</f>
        <v>1600</v>
      </c>
      <c r="G120" s="66">
        <f>IFERROR(__xludf.DUMMYFUNCTION("""COMPUTED_VALUE"""),0.0)</f>
        <v>0</v>
      </c>
      <c r="H120" s="67">
        <f>IFERROR(__xludf.DUMMYFUNCTION("""COMPUTED_VALUE"""),1.0)</f>
        <v>1</v>
      </c>
    </row>
    <row r="121">
      <c r="A121" s="68" t="str">
        <f>IFERROR(__xludf.DUMMYFUNCTION("""COMPUTED_VALUE"""),"Sarah")</f>
        <v>Sarah</v>
      </c>
      <c r="B121" s="68" t="str">
        <f>IFERROR(__xludf.DUMMYFUNCTION("""COMPUTED_VALUE"""),"801-803 Washington Avenue                                                                                                                                                      ")</f>
        <v>801-803 Washington Avenue                                                                                                                                                      </v>
      </c>
      <c r="C121" s="62">
        <f>IFERROR(__xludf.DUMMYFUNCTION("""COMPUTED_VALUE"""),1.0)</f>
        <v>1</v>
      </c>
      <c r="D121" s="75">
        <f>IFERROR(__xludf.DUMMYFUNCTION("""COMPUTED_VALUE"""),1.0645714285714287)</f>
        <v>1.064571429</v>
      </c>
      <c r="E121" s="64">
        <f>IFERROR(__xludf.DUMMYFUNCTION("""COMPUTED_VALUE"""),-90.4)</f>
        <v>-90.4</v>
      </c>
      <c r="F121" s="76">
        <f>IFERROR(__xludf.DUMMYFUNCTION("""COMPUTED_VALUE"""),-90.4)</f>
        <v>-90.4</v>
      </c>
      <c r="G121" s="66">
        <f>IFERROR(__xludf.DUMMYFUNCTION("""COMPUTED_VALUE"""),0.0)</f>
        <v>0</v>
      </c>
      <c r="H121" s="67">
        <f>IFERROR(__xludf.DUMMYFUNCTION("""COMPUTED_VALUE"""),1.0)</f>
        <v>1</v>
      </c>
    </row>
    <row r="122">
      <c r="A122" s="61" t="str">
        <f>IFERROR(__xludf.DUMMYFUNCTION("""COMPUTED_VALUE"""),"Sarah")</f>
        <v>Sarah</v>
      </c>
      <c r="B122" s="61" t="str">
        <f>IFERROR(__xludf.DUMMYFUNCTION("""COMPUTED_VALUE"""),"811 South Fairview Road                                                                                                                                                    ")</f>
        <v>811 South Fairview Road                                                                                                                                                    </v>
      </c>
      <c r="C122" s="62">
        <f>IFERROR(__xludf.DUMMYFUNCTION("""COMPUTED_VALUE"""),1.0)</f>
        <v>1</v>
      </c>
      <c r="D122" s="77">
        <f>IFERROR(__xludf.DUMMYFUNCTION("""COMPUTED_VALUE"""),1.0)</f>
        <v>1</v>
      </c>
      <c r="E122" s="78">
        <f>IFERROR(__xludf.DUMMYFUNCTION("""COMPUTED_VALUE"""),0.0)</f>
        <v>0</v>
      </c>
      <c r="F122" s="76">
        <f>IFERROR(__xludf.DUMMYFUNCTION("""COMPUTED_VALUE"""),0.0)</f>
        <v>0</v>
      </c>
      <c r="G122" s="66">
        <f>IFERROR(__xludf.DUMMYFUNCTION("""COMPUTED_VALUE"""),1.0)</f>
        <v>1</v>
      </c>
      <c r="H122" s="67">
        <f>IFERROR(__xludf.DUMMYFUNCTION("""COMPUTED_VALUE"""),1.0)</f>
        <v>1</v>
      </c>
    </row>
    <row r="123">
      <c r="A123" s="79" t="str">
        <f>IFERROR(__xludf.DUMMYFUNCTION("""COMPUTED_VALUE"""),"Sarah")</f>
        <v>Sarah</v>
      </c>
      <c r="B123" s="68" t="str">
        <f>IFERROR(__xludf.DUMMYFUNCTION("""COMPUTED_VALUE"""),"Glen Oaks ")</f>
        <v>Glen Oaks </v>
      </c>
      <c r="C123" s="80">
        <f>IFERROR(__xludf.DUMMYFUNCTION("""COMPUTED_VALUE"""),0.889)</f>
        <v>0.889</v>
      </c>
      <c r="D123" s="81">
        <f>IFERROR(__xludf.DUMMYFUNCTION("""COMPUTED_VALUE"""),0.8954346533917825)</f>
        <v>0.8954346534</v>
      </c>
      <c r="E123" s="82">
        <f>IFERROR(__xludf.DUMMYFUNCTION("""COMPUTED_VALUE"""),2814.69)</f>
        <v>2814.69</v>
      </c>
      <c r="F123" s="83">
        <f>IFERROR(__xludf.DUMMYFUNCTION("""COMPUTED_VALUE"""),4888.64)</f>
        <v>4888.64</v>
      </c>
      <c r="G123" s="66">
        <f>IFERROR(__xludf.DUMMYFUNCTION("""COMPUTED_VALUE"""),1.0)</f>
        <v>1</v>
      </c>
      <c r="H123" s="67">
        <f>IFERROR(__xludf.DUMMYFUNCTION("""COMPUTED_VALUE"""),0.6875)</f>
        <v>0.6875</v>
      </c>
    </row>
    <row r="124">
      <c r="A124" s="61" t="str">
        <f>IFERROR(__xludf.DUMMYFUNCTION("""COMPUTED_VALUE"""),"Karen")</f>
        <v>Karen</v>
      </c>
      <c r="B124" s="61" t="str">
        <f>IFERROR(__xludf.DUMMYFUNCTION("""COMPUTED_VALUE"""),"Hilltop Townhomes ")</f>
        <v>Hilltop Townhomes </v>
      </c>
      <c r="C124" s="84">
        <f>IFERROR(__xludf.DUMMYFUNCTION("""COMPUTED_VALUE"""),0.765)</f>
        <v>0.765</v>
      </c>
      <c r="D124" s="81">
        <f>IFERROR(__xludf.DUMMYFUNCTION("""COMPUTED_VALUE"""),0.7982020679668763)</f>
        <v>0.798202068</v>
      </c>
      <c r="E124" s="85">
        <f>IFERROR(__xludf.DUMMYFUNCTION("""COMPUTED_VALUE"""),6045.9400000000005)</f>
        <v>6045.94</v>
      </c>
      <c r="F124" s="86">
        <f>IFERROR(__xludf.DUMMYFUNCTION("""COMPUTED_VALUE"""),11792.19)</f>
        <v>11792.19</v>
      </c>
      <c r="G124" s="66">
        <f>IFERROR(__xludf.DUMMYFUNCTION("""COMPUTED_VALUE"""),2.0)</f>
        <v>2</v>
      </c>
      <c r="H124" s="67">
        <f>IFERROR(__xludf.DUMMYFUNCTION("""COMPUTED_VALUE"""),0.8205128205128205)</f>
        <v>0.8205128205</v>
      </c>
    </row>
    <row r="125">
      <c r="A125" s="68" t="str">
        <f>IFERROR(__xludf.DUMMYFUNCTION("""COMPUTED_VALUE"""),"Sam")</f>
        <v>Sam</v>
      </c>
      <c r="B125" s="68" t="str">
        <f>IFERROR(__xludf.DUMMYFUNCTION("""COMPUTED_VALUE"""),"Maple Manor Apartments                                                                                                                                             ")</f>
        <v>Maple Manor Apartments                                                                                                                                             </v>
      </c>
      <c r="C125" s="87">
        <f>IFERROR(__xludf.DUMMYFUNCTION("""COMPUTED_VALUE"""),0.9)</f>
        <v>0.9</v>
      </c>
      <c r="D125" s="88">
        <f>IFERROR(__xludf.DUMMYFUNCTION("""COMPUTED_VALUE"""),0.9178628989742277)</f>
        <v>0.917862899</v>
      </c>
      <c r="E125" s="89">
        <f>IFERROR(__xludf.DUMMYFUNCTION("""COMPUTED_VALUE"""),2726.5)</f>
        <v>2726.5</v>
      </c>
      <c r="F125" s="90">
        <f>IFERROR(__xludf.DUMMYFUNCTION("""COMPUTED_VALUE"""),3753.43)</f>
        <v>3753.43</v>
      </c>
      <c r="G125" s="91">
        <f>IFERROR(__xludf.DUMMYFUNCTION("""COMPUTED_VALUE"""),0.0)</f>
        <v>0</v>
      </c>
      <c r="H125" s="92">
        <f>IFERROR(__xludf.DUMMYFUNCTION("""COMPUTED_VALUE"""),0.7222222222222222)</f>
        <v>0.7222222222</v>
      </c>
    </row>
    <row r="126">
      <c r="A126" s="61" t="str">
        <f>IFERROR(__xludf.DUMMYFUNCTION("""COMPUTED_VALUE"""),"Karen")</f>
        <v>Karen</v>
      </c>
      <c r="B126" s="61" t="str">
        <f>IFERROR(__xludf.DUMMYFUNCTION("""COMPUTED_VALUE"""),"Normandy Apartments")</f>
        <v>Normandy Apartments</v>
      </c>
      <c r="C126" s="93">
        <f>IFERROR(__xludf.DUMMYFUNCTION("""COMPUTED_VALUE"""),0.955)</f>
        <v>0.955</v>
      </c>
      <c r="D126" s="94">
        <f>IFERROR(__xludf.DUMMYFUNCTION("""COMPUTED_VALUE"""),0.8965099746328019)</f>
        <v>0.8965099746</v>
      </c>
      <c r="E126" s="95">
        <f>IFERROR(__xludf.DUMMYFUNCTION("""COMPUTED_VALUE"""),1648.52)</f>
        <v>1648.52</v>
      </c>
      <c r="F126" s="96">
        <f>IFERROR(__xludf.DUMMYFUNCTION("""COMPUTED_VALUE"""),1656.02)</f>
        <v>1656.02</v>
      </c>
      <c r="G126" s="66">
        <f>IFERROR(__xludf.DUMMYFUNCTION("""COMPUTED_VALUE"""),0.0)</f>
        <v>0</v>
      </c>
      <c r="H126" s="67">
        <f>IFERROR(__xludf.DUMMYFUNCTION("""COMPUTED_VALUE"""),0.6190476190476191)</f>
        <v>0.619047619</v>
      </c>
    </row>
    <row r="127">
      <c r="A127" s="68" t="str">
        <f>IFERROR(__xludf.DUMMYFUNCTION("""COMPUTED_VALUE"""),"Sam")</f>
        <v>Sam</v>
      </c>
      <c r="B127" s="68" t="str">
        <f>IFERROR(__xludf.DUMMYFUNCTION("""COMPUTED_VALUE"""),"Oakwood Gardens ")</f>
        <v>Oakwood Gardens </v>
      </c>
      <c r="C127" s="97">
        <f>IFERROR(__xludf.DUMMYFUNCTION("""COMPUTED_VALUE"""),0.88)</f>
        <v>0.88</v>
      </c>
      <c r="D127" s="98">
        <f>IFERROR(__xludf.DUMMYFUNCTION("""COMPUTED_VALUE"""),0.9511314518678823)</f>
        <v>0.9511314519</v>
      </c>
      <c r="E127" s="99">
        <f>IFERROR(__xludf.DUMMYFUNCTION("""COMPUTED_VALUE"""),2488.4499999999994)</f>
        <v>2488.45</v>
      </c>
      <c r="F127" s="100">
        <f>IFERROR(__xludf.DUMMYFUNCTION("""COMPUTED_VALUE"""),8014.9)</f>
        <v>8014.9</v>
      </c>
      <c r="G127" s="66">
        <f>IFERROR(__xludf.DUMMYFUNCTION("""COMPUTED_VALUE"""),1.0)</f>
        <v>1</v>
      </c>
      <c r="H127" s="67">
        <f>IFERROR(__xludf.DUMMYFUNCTION("""COMPUTED_VALUE"""),0.6136363636363636)</f>
        <v>0.6136363636</v>
      </c>
    </row>
    <row r="128">
      <c r="A128" s="101" t="str">
        <f>IFERROR(__xludf.DUMMYFUNCTION("""COMPUTED_VALUE"""),"Sarah")</f>
        <v>Sarah</v>
      </c>
      <c r="B128" s="61" t="str">
        <f>IFERROR(__xludf.DUMMYFUNCTION("""COMPUTED_VALUE"""),"Pioneer Apartments ")</f>
        <v>Pioneer Apartments </v>
      </c>
      <c r="C128" s="62">
        <f>IFERROR(__xludf.DUMMYFUNCTION("""COMPUTED_VALUE"""),1.0)</f>
        <v>1</v>
      </c>
      <c r="D128" s="102">
        <f>IFERROR(__xludf.DUMMYFUNCTION("""COMPUTED_VALUE"""),1.006529195402299)</f>
        <v>1.006529195</v>
      </c>
      <c r="E128" s="103">
        <f>IFERROR(__xludf.DUMMYFUNCTION("""COMPUTED_VALUE"""),-103.69999999999982)</f>
        <v>-103.7</v>
      </c>
      <c r="F128" s="104">
        <f>IFERROR(__xludf.DUMMYFUNCTION("""COMPUTED_VALUE"""),297.1)</f>
        <v>297.1</v>
      </c>
      <c r="G128" s="66">
        <f>IFERROR(__xludf.DUMMYFUNCTION("""COMPUTED_VALUE"""),0.0)</f>
        <v>0</v>
      </c>
      <c r="H128" s="67">
        <f>IFERROR(__xludf.DUMMYFUNCTION("""COMPUTED_VALUE"""),0.8666666666666667)</f>
        <v>0.8666666667</v>
      </c>
    </row>
    <row r="129">
      <c r="A129" s="50"/>
      <c r="B129" s="51"/>
      <c r="C129" s="52">
        <f>IFERROR(__xludf.DUMMYFUNCTION("""COMPUTED_VALUE"""),0.8759163498098859)</f>
        <v>0.8759163498</v>
      </c>
      <c r="D129" s="53">
        <f>IFERROR(__xludf.DUMMYFUNCTION("""COMPUTED_VALUE"""),0.9172942422694499)</f>
        <v>0.9172942423</v>
      </c>
      <c r="E129" s="54">
        <f>IFERROR(__xludf.DUMMYFUNCTION("""COMPUTED_VALUE"""),17130.0)</f>
        <v>17130</v>
      </c>
      <c r="F129" s="54">
        <f>IFERROR(__xludf.DUMMYFUNCTION("""COMPUTED_VALUE"""),32890.63)</f>
        <v>32890.63</v>
      </c>
      <c r="G129" s="55">
        <f>IFERROR(__xludf.DUMMYFUNCTION("""COMPUTED_VALUE"""),5.0)</f>
        <v>5</v>
      </c>
      <c r="H129" s="56">
        <f>IFERROR(__xludf.DUMMYFUNCTION("""COMPUTED_VALUE"""),0.7373271889400922)</f>
        <v>0.7373271889</v>
      </c>
    </row>
    <row r="130">
      <c r="A130" s="9">
        <v>46020.0</v>
      </c>
      <c r="B130" s="10"/>
      <c r="C130" s="11"/>
      <c r="D130" s="11"/>
      <c r="E130" s="12"/>
      <c r="F130" s="13"/>
      <c r="G130" s="11"/>
      <c r="H130" s="14"/>
    </row>
    <row r="131">
      <c r="A131" s="35" t="str">
        <f>IFERROR(__xludf.DUMMYFUNCTION("IFERROR(
  IMPORTRANGE(TRIM($A$1), ""'"" &amp; TRIM(A130) &amp; ""'!A282:h296""),
  """"
)"),"Sarah")</f>
        <v>Sarah</v>
      </c>
      <c r="B131" s="36"/>
      <c r="C131" s="57">
        <f>IFERROR(__xludf.DUMMYFUNCTION("""COMPUTED_VALUE"""),0.9059529411764706)</f>
        <v>0.9059529412</v>
      </c>
      <c r="D131" s="58">
        <f>IFERROR(__xludf.DUMMYFUNCTION("""COMPUTED_VALUE"""),1.0089052714920008)</f>
        <v>1.008905271</v>
      </c>
      <c r="E131" s="59">
        <f>IFERROR(__xludf.DUMMYFUNCTION("""COMPUTED_VALUE"""),-1039.8100000000006)</f>
        <v>-1039.81</v>
      </c>
      <c r="F131" s="60">
        <f>IFERROR(__xludf.DUMMYFUNCTION("""COMPUTED_VALUE"""),2467.63)</f>
        <v>2467.63</v>
      </c>
      <c r="G131" s="32">
        <f>IFERROR(__xludf.DUMMYFUNCTION("""COMPUTED_VALUE"""),4.0)</f>
        <v>4</v>
      </c>
      <c r="H131" s="23">
        <f>IFERROR(__xludf.DUMMYFUNCTION("""COMPUTED_VALUE"""),0.8029411764705883)</f>
        <v>0.8029411765</v>
      </c>
    </row>
    <row r="132">
      <c r="A132" s="26" t="str">
        <f>IFERROR(__xludf.DUMMYFUNCTION("""COMPUTED_VALUE"""),"Karen")</f>
        <v>Karen</v>
      </c>
      <c r="B132" s="27"/>
      <c r="C132" s="28">
        <f>IFERROR(__xludf.DUMMYFUNCTION("""COMPUTED_VALUE"""),0.8222602739726027)</f>
        <v>0.822260274</v>
      </c>
      <c r="D132" s="29">
        <f>IFERROR(__xludf.DUMMYFUNCTION("""COMPUTED_VALUE"""),0.8951997223639947)</f>
        <v>0.8951997224</v>
      </c>
      <c r="E132" s="30">
        <f>IFERROR(__xludf.DUMMYFUNCTION("""COMPUTED_VALUE"""),3951.9600000000005)</f>
        <v>3951.96</v>
      </c>
      <c r="F132" s="31">
        <f>IFERROR(__xludf.DUMMYFUNCTION("""COMPUTED_VALUE"""),9501.960000000001)</f>
        <v>9501.96</v>
      </c>
      <c r="G132" s="32">
        <f>IFERROR(__xludf.DUMMYFUNCTION("""COMPUTED_VALUE"""),2.0)</f>
        <v>2</v>
      </c>
      <c r="H132" s="33">
        <f>IFERROR(__xludf.DUMMYFUNCTION("""COMPUTED_VALUE"""),0.7920618194590797)</f>
        <v>0.7920618195</v>
      </c>
    </row>
    <row r="133">
      <c r="A133" s="35" t="str">
        <f>IFERROR(__xludf.DUMMYFUNCTION("""COMPUTED_VALUE"""),"Sam")</f>
        <v>Sam</v>
      </c>
      <c r="B133" s="36"/>
      <c r="C133" s="37">
        <f>IFERROR(__xludf.DUMMYFUNCTION("""COMPUTED_VALUE"""),0.8888888888888888)</f>
        <v>0.8888888889</v>
      </c>
      <c r="D133" s="38">
        <f>IFERROR(__xludf.DUMMYFUNCTION("""COMPUTED_VALUE"""),0.9813476865732284)</f>
        <v>0.9813476866</v>
      </c>
      <c r="E133" s="39">
        <f>IFERROR(__xludf.DUMMYFUNCTION("""COMPUTED_VALUE"""),1129.1999999999998)</f>
        <v>1129.2</v>
      </c>
      <c r="F133" s="40">
        <f>IFERROR(__xludf.DUMMYFUNCTION("""COMPUTED_VALUE"""),7682.58)</f>
        <v>7682.58</v>
      </c>
      <c r="G133" s="32">
        <f>IFERROR(__xludf.DUMMYFUNCTION("""COMPUTED_VALUE"""),1.0)</f>
        <v>1</v>
      </c>
      <c r="H133" s="33">
        <f>IFERROR(__xludf.DUMMYFUNCTION("""COMPUTED_VALUE"""),0.6618967452300786)</f>
        <v>0.6618967452</v>
      </c>
    </row>
    <row r="134">
      <c r="A134" s="61" t="str">
        <f>IFERROR(__xludf.DUMMYFUNCTION("""COMPUTED_VALUE"""),"Sarah")</f>
        <v>Sarah</v>
      </c>
      <c r="B134" s="61" t="str">
        <f>IFERROR(__xludf.DUMMYFUNCTION("""COMPUTED_VALUE"""),"1511 Sylvan Lane                                                                                                                                                ")</f>
        <v>1511 Sylvan Lane                                                                                                                                                </v>
      </c>
      <c r="C134" s="62">
        <f>IFERROR(__xludf.DUMMYFUNCTION("""COMPUTED_VALUE"""),0.75)</f>
        <v>0.75</v>
      </c>
      <c r="D134" s="63">
        <f>IFERROR(__xludf.DUMMYFUNCTION("""COMPUTED_VALUE"""),0.7008547008547008)</f>
        <v>0.7008547009</v>
      </c>
      <c r="E134" s="64">
        <f>IFERROR(__xludf.DUMMYFUNCTION("""COMPUTED_VALUE"""),875.0)</f>
        <v>875</v>
      </c>
      <c r="F134" s="65">
        <f>IFERROR(__xludf.DUMMYFUNCTION("""COMPUTED_VALUE"""),1048.75)</f>
        <v>1048.75</v>
      </c>
      <c r="G134" s="66">
        <f>IFERROR(__xludf.DUMMYFUNCTION("""COMPUTED_VALUE"""),0.0)</f>
        <v>0</v>
      </c>
      <c r="H134" s="67">
        <f>IFERROR(__xludf.DUMMYFUNCTION("""COMPUTED_VALUE"""),1.0)</f>
        <v>1</v>
      </c>
    </row>
    <row r="135">
      <c r="A135" s="68" t="str">
        <f>IFERROR(__xludf.DUMMYFUNCTION("""COMPUTED_VALUE"""),"Sarah")</f>
        <v>Sarah</v>
      </c>
      <c r="B135" s="68" t="str">
        <f>IFERROR(__xludf.DUMMYFUNCTION("""COMPUTED_VALUE"""),"3909 North Oakland Gravel Road                                                                                                                                                    ")</f>
        <v>3909 North Oakland Gravel Road                                                                                                                                                    </v>
      </c>
      <c r="C135" s="69">
        <f>IFERROR(__xludf.DUMMYFUNCTION("""COMPUTED_VALUE"""),0.667)</f>
        <v>0.667</v>
      </c>
      <c r="D135" s="70">
        <f>IFERROR(__xludf.DUMMYFUNCTION("""COMPUTED_VALUE"""),1.0)</f>
        <v>1</v>
      </c>
      <c r="E135" s="64">
        <f>IFERROR(__xludf.DUMMYFUNCTION("""COMPUTED_VALUE"""),0.0)</f>
        <v>0</v>
      </c>
      <c r="F135" s="71">
        <f>IFERROR(__xludf.DUMMYFUNCTION("""COMPUTED_VALUE"""),0.0)</f>
        <v>0</v>
      </c>
      <c r="G135" s="66">
        <f>IFERROR(__xludf.DUMMYFUNCTION("""COMPUTED_VALUE"""),0.0)</f>
        <v>0</v>
      </c>
      <c r="H135" s="67">
        <f>IFERROR(__xludf.DUMMYFUNCTION("""COMPUTED_VALUE"""),0.75)</f>
        <v>0.75</v>
      </c>
    </row>
    <row r="136">
      <c r="A136" s="61" t="str">
        <f>IFERROR(__xludf.DUMMYFUNCTION("""COMPUTED_VALUE"""),"Sarah")</f>
        <v>Sarah</v>
      </c>
      <c r="B136" s="61" t="str">
        <f>IFERROR(__xludf.DUMMYFUNCTION("""COMPUTED_VALUE"""),"407 Pecan Street                                                                                                                                                  ")</f>
        <v>407 Pecan Street                                                                                                                                                  </v>
      </c>
      <c r="C136" s="62">
        <f>IFERROR(__xludf.DUMMYFUNCTION("""COMPUTED_VALUE"""),0.8)</f>
        <v>0.8</v>
      </c>
      <c r="D136" s="72">
        <f>IFERROR(__xludf.DUMMYFUNCTION("""COMPUTED_VALUE"""),0.7521367521367521)</f>
        <v>0.7521367521</v>
      </c>
      <c r="E136" s="73">
        <f>IFERROR(__xludf.DUMMYFUNCTION("""COMPUTED_VALUE"""),725.0)</f>
        <v>725</v>
      </c>
      <c r="F136" s="74">
        <f>IFERROR(__xludf.DUMMYFUNCTION("""COMPUTED_VALUE"""),1670.0)</f>
        <v>1670</v>
      </c>
      <c r="G136" s="66">
        <f>IFERROR(__xludf.DUMMYFUNCTION("""COMPUTED_VALUE"""),1.0)</f>
        <v>1</v>
      </c>
      <c r="H136" s="67">
        <f>IFERROR(__xludf.DUMMYFUNCTION("""COMPUTED_VALUE"""),0.75)</f>
        <v>0.75</v>
      </c>
    </row>
    <row r="137">
      <c r="A137" s="68" t="str">
        <f>IFERROR(__xludf.DUMMYFUNCTION("""COMPUTED_VALUE"""),"Sarah")</f>
        <v>Sarah</v>
      </c>
      <c r="B137" s="68" t="str">
        <f>IFERROR(__xludf.DUMMYFUNCTION("""COMPUTED_VALUE"""),"801-803 Washington Avenue                                                                                                                                                      ")</f>
        <v>801-803 Washington Avenue                                                                                                                                                      </v>
      </c>
      <c r="C137" s="62">
        <f>IFERROR(__xludf.DUMMYFUNCTION("""COMPUTED_VALUE"""),1.0)</f>
        <v>1</v>
      </c>
      <c r="D137" s="75">
        <f>IFERROR(__xludf.DUMMYFUNCTION("""COMPUTED_VALUE"""),1.0261714285714285)</f>
        <v>1.026171429</v>
      </c>
      <c r="E137" s="64">
        <f>IFERROR(__xludf.DUMMYFUNCTION("""COMPUTED_VALUE"""),-36.64)</f>
        <v>-36.64</v>
      </c>
      <c r="F137" s="76">
        <f>IFERROR(__xludf.DUMMYFUNCTION("""COMPUTED_VALUE"""),-36.64)</f>
        <v>-36.64</v>
      </c>
      <c r="G137" s="66">
        <f>IFERROR(__xludf.DUMMYFUNCTION("""COMPUTED_VALUE"""),0.0)</f>
        <v>0</v>
      </c>
      <c r="H137" s="67">
        <f>IFERROR(__xludf.DUMMYFUNCTION("""COMPUTED_VALUE"""),1.0)</f>
        <v>1</v>
      </c>
    </row>
    <row r="138">
      <c r="A138" s="61" t="str">
        <f>IFERROR(__xludf.DUMMYFUNCTION("""COMPUTED_VALUE"""),"Sarah")</f>
        <v>Sarah</v>
      </c>
      <c r="B138" s="61" t="str">
        <f>IFERROR(__xludf.DUMMYFUNCTION("""COMPUTED_VALUE"""),"811 South Fairview Road                                                                                                                                                    ")</f>
        <v>811 South Fairview Road                                                                                                                                                    </v>
      </c>
      <c r="C138" s="62">
        <f>IFERROR(__xludf.DUMMYFUNCTION("""COMPUTED_VALUE"""),1.0)</f>
        <v>1</v>
      </c>
      <c r="D138" s="77">
        <f>IFERROR(__xludf.DUMMYFUNCTION("""COMPUTED_VALUE"""),1.5)</f>
        <v>1.5</v>
      </c>
      <c r="E138" s="78">
        <f>IFERROR(__xludf.DUMMYFUNCTION("""COMPUTED_VALUE"""),-1200.0)</f>
        <v>-1200</v>
      </c>
      <c r="F138" s="76">
        <f>IFERROR(__xludf.DUMMYFUNCTION("""COMPUTED_VALUE"""),-1200.0)</f>
        <v>-1200</v>
      </c>
      <c r="G138" s="66">
        <f>IFERROR(__xludf.DUMMYFUNCTION("""COMPUTED_VALUE"""),1.0)</f>
        <v>1</v>
      </c>
      <c r="H138" s="67">
        <f>IFERROR(__xludf.DUMMYFUNCTION("""COMPUTED_VALUE"""),1.0)</f>
        <v>1</v>
      </c>
    </row>
    <row r="139">
      <c r="A139" s="79" t="str">
        <f>IFERROR(__xludf.DUMMYFUNCTION("""COMPUTED_VALUE"""),"Sarah")</f>
        <v>Sarah</v>
      </c>
      <c r="B139" s="68" t="str">
        <f>IFERROR(__xludf.DUMMYFUNCTION("""COMPUTED_VALUE"""),"Glen Oaks ")</f>
        <v>Glen Oaks </v>
      </c>
      <c r="C139" s="80">
        <f>IFERROR(__xludf.DUMMYFUNCTION("""COMPUTED_VALUE"""),0.889)</f>
        <v>0.889</v>
      </c>
      <c r="D139" s="81">
        <f>IFERROR(__xludf.DUMMYFUNCTION("""COMPUTED_VALUE"""),0.9604469128464225)</f>
        <v>0.9604469128</v>
      </c>
      <c r="E139" s="82">
        <f>IFERROR(__xludf.DUMMYFUNCTION("""COMPUTED_VALUE"""),1064.69)</f>
        <v>1064.69</v>
      </c>
      <c r="F139" s="83">
        <f>IFERROR(__xludf.DUMMYFUNCTION("""COMPUTED_VALUE"""),3138.64)</f>
        <v>3138.64</v>
      </c>
      <c r="G139" s="66">
        <f>IFERROR(__xludf.DUMMYFUNCTION("""COMPUTED_VALUE"""),1.0)</f>
        <v>1</v>
      </c>
      <c r="H139" s="67">
        <f>IFERROR(__xludf.DUMMYFUNCTION("""COMPUTED_VALUE"""),0.75)</f>
        <v>0.75</v>
      </c>
    </row>
    <row r="140">
      <c r="A140" s="61" t="str">
        <f>IFERROR(__xludf.DUMMYFUNCTION("""COMPUTED_VALUE"""),"Karen")</f>
        <v>Karen</v>
      </c>
      <c r="B140" s="61" t="str">
        <f>IFERROR(__xludf.DUMMYFUNCTION("""COMPUTED_VALUE"""),"Hilltop Townhomes ")</f>
        <v>Hilltop Townhomes </v>
      </c>
      <c r="C140" s="84">
        <f>IFERROR(__xludf.DUMMYFUNCTION("""COMPUTED_VALUE"""),0.765)</f>
        <v>0.765</v>
      </c>
      <c r="D140" s="81">
        <f>IFERROR(__xludf.DUMMYFUNCTION("""COMPUTED_VALUE"""),0.8365097968233857)</f>
        <v>0.8365097968</v>
      </c>
      <c r="E140" s="85">
        <f>IFERROR(__xludf.DUMMYFUNCTION("""COMPUTED_VALUE"""),4450.9400000000005)</f>
        <v>4450.94</v>
      </c>
      <c r="F140" s="86">
        <f>IFERROR(__xludf.DUMMYFUNCTION("""COMPUTED_VALUE"""),10000.94)</f>
        <v>10000.94</v>
      </c>
      <c r="G140" s="66">
        <f>IFERROR(__xludf.DUMMYFUNCTION("""COMPUTED_VALUE"""),2.0)</f>
        <v>2</v>
      </c>
      <c r="H140" s="67">
        <f>IFERROR(__xludf.DUMMYFUNCTION("""COMPUTED_VALUE"""),0.8461538461538461)</f>
        <v>0.8461538462</v>
      </c>
    </row>
    <row r="141">
      <c r="A141" s="68" t="str">
        <f>IFERROR(__xludf.DUMMYFUNCTION("""COMPUTED_VALUE"""),"Sam")</f>
        <v>Sam</v>
      </c>
      <c r="B141" s="68" t="str">
        <f>IFERROR(__xludf.DUMMYFUNCTION("""COMPUTED_VALUE"""),"Maple Manor Apartments                                                                                                                                             ")</f>
        <v>Maple Manor Apartments                                                                                                                                             </v>
      </c>
      <c r="C141" s="87">
        <f>IFERROR(__xludf.DUMMYFUNCTION("""COMPUTED_VALUE"""),0.9)</f>
        <v>0.9</v>
      </c>
      <c r="D141" s="88">
        <f>IFERROR(__xludf.DUMMYFUNCTION("""COMPUTED_VALUE"""),0.9230444802602841)</f>
        <v>0.9230444803</v>
      </c>
      <c r="E141" s="89">
        <f>IFERROR(__xludf.DUMMYFUNCTION("""COMPUTED_VALUE"""),2554.5)</f>
        <v>2554.5</v>
      </c>
      <c r="F141" s="90">
        <f>IFERROR(__xludf.DUMMYFUNCTION("""COMPUTED_VALUE"""),3581.43)</f>
        <v>3581.43</v>
      </c>
      <c r="G141" s="91">
        <f>IFERROR(__xludf.DUMMYFUNCTION("""COMPUTED_VALUE"""),0.0)</f>
        <v>0</v>
      </c>
      <c r="H141" s="92">
        <f>IFERROR(__xludf.DUMMYFUNCTION("""COMPUTED_VALUE"""),0.7222222222222222)</f>
        <v>0.7222222222</v>
      </c>
    </row>
    <row r="142">
      <c r="A142" s="61" t="str">
        <f>IFERROR(__xludf.DUMMYFUNCTION("""COMPUTED_VALUE"""),"Karen")</f>
        <v>Karen</v>
      </c>
      <c r="B142" s="61" t="str">
        <f>IFERROR(__xludf.DUMMYFUNCTION("""COMPUTED_VALUE"""),"Normandy Apartments")</f>
        <v>Normandy Apartments</v>
      </c>
      <c r="C142" s="93">
        <f>IFERROR(__xludf.DUMMYFUNCTION("""COMPUTED_VALUE"""),0.955)</f>
        <v>0.955</v>
      </c>
      <c r="D142" s="94">
        <f>IFERROR(__xludf.DUMMYFUNCTION("""COMPUTED_VALUE"""),1.0312536406626789)</f>
        <v>1.031253641</v>
      </c>
      <c r="E142" s="95">
        <f>IFERROR(__xludf.DUMMYFUNCTION("""COMPUTED_VALUE"""),-498.98)</f>
        <v>-498.98</v>
      </c>
      <c r="F142" s="96">
        <f>IFERROR(__xludf.DUMMYFUNCTION("""COMPUTED_VALUE"""),-498.98)</f>
        <v>-498.98</v>
      </c>
      <c r="G142" s="66">
        <f>IFERROR(__xludf.DUMMYFUNCTION("""COMPUTED_VALUE"""),0.0)</f>
        <v>0</v>
      </c>
      <c r="H142" s="67">
        <f>IFERROR(__xludf.DUMMYFUNCTION("""COMPUTED_VALUE"""),0.6666666666666666)</f>
        <v>0.6666666667</v>
      </c>
    </row>
    <row r="143">
      <c r="A143" s="68" t="str">
        <f>IFERROR(__xludf.DUMMYFUNCTION("""COMPUTED_VALUE"""),"Sam")</f>
        <v>Sam</v>
      </c>
      <c r="B143" s="68" t="str">
        <f>IFERROR(__xludf.DUMMYFUNCTION("""COMPUTED_VALUE"""),"Oakwood Gardens ")</f>
        <v>Oakwood Gardens </v>
      </c>
      <c r="C143" s="97">
        <f>IFERROR(__xludf.DUMMYFUNCTION("""COMPUTED_VALUE"""),0.88)</f>
        <v>0.88</v>
      </c>
      <c r="D143" s="98">
        <f>IFERROR(__xludf.DUMMYFUNCTION("""COMPUTED_VALUE"""),1.0279902516235837)</f>
        <v>1.027990252</v>
      </c>
      <c r="E143" s="99">
        <f>IFERROR(__xludf.DUMMYFUNCTION("""COMPUTED_VALUE"""),-1425.3000000000002)</f>
        <v>-1425.3</v>
      </c>
      <c r="F143" s="100">
        <f>IFERROR(__xludf.DUMMYFUNCTION("""COMPUTED_VALUE"""),4101.15)</f>
        <v>4101.15</v>
      </c>
      <c r="G143" s="66">
        <f>IFERROR(__xludf.DUMMYFUNCTION("""COMPUTED_VALUE"""),1.0)</f>
        <v>1</v>
      </c>
      <c r="H143" s="67">
        <f>IFERROR(__xludf.DUMMYFUNCTION("""COMPUTED_VALUE"""),0.6136363636363636)</f>
        <v>0.6136363636</v>
      </c>
    </row>
    <row r="144">
      <c r="A144" s="101" t="str">
        <f>IFERROR(__xludf.DUMMYFUNCTION("""COMPUTED_VALUE"""),"Sarah")</f>
        <v>Sarah</v>
      </c>
      <c r="B144" s="61" t="str">
        <f>IFERROR(__xludf.DUMMYFUNCTION("""COMPUTED_VALUE"""),"Pioneer Apartments ")</f>
        <v>Pioneer Apartments </v>
      </c>
      <c r="C144" s="62">
        <f>IFERROR(__xludf.DUMMYFUNCTION("""COMPUTED_VALUE"""),1.0)</f>
        <v>1</v>
      </c>
      <c r="D144" s="102">
        <f>IFERROR(__xludf.DUMMYFUNCTION("""COMPUTED_VALUE"""),1.118813793103448)</f>
        <v>1.118813793</v>
      </c>
      <c r="E144" s="103">
        <f>IFERROR(__xludf.DUMMYFUNCTION("""COMPUTED_VALUE"""),-2467.8600000000006)</f>
        <v>-2467.86</v>
      </c>
      <c r="F144" s="104">
        <f>IFERROR(__xludf.DUMMYFUNCTION("""COMPUTED_VALUE"""),-2153.12)</f>
        <v>-2153.12</v>
      </c>
      <c r="G144" s="66">
        <f>IFERROR(__xludf.DUMMYFUNCTION("""COMPUTED_VALUE"""),1.0)</f>
        <v>1</v>
      </c>
      <c r="H144" s="67">
        <f>IFERROR(__xludf.DUMMYFUNCTION("""COMPUTED_VALUE"""),0.8333333333333334)</f>
        <v>0.8333333333</v>
      </c>
    </row>
    <row r="145">
      <c r="A145" s="50"/>
      <c r="B145" s="51"/>
      <c r="C145" s="52">
        <f>IFERROR(__xludf.DUMMYFUNCTION("""COMPUTED_VALUE"""),0.8759163498098859)</f>
        <v>0.8759163498</v>
      </c>
      <c r="D145" s="53">
        <f>IFERROR(__xludf.DUMMYFUNCTION("""COMPUTED_VALUE"""),0.9804878625800146)</f>
        <v>0.9804878626</v>
      </c>
      <c r="E145" s="54">
        <f>IFERROR(__xludf.DUMMYFUNCTION("""COMPUTED_VALUE"""),4041.3500000000013)</f>
        <v>4041.35</v>
      </c>
      <c r="F145" s="54">
        <f>IFERROR(__xludf.DUMMYFUNCTION("""COMPUTED_VALUE"""),19652.170000000002)</f>
        <v>19652.17</v>
      </c>
      <c r="G145" s="55">
        <f>IFERROR(__xludf.DUMMYFUNCTION("""COMPUTED_VALUE"""),7.0)</f>
        <v>7</v>
      </c>
      <c r="H145" s="56">
        <f>IFERROR(__xludf.DUMMYFUNCTION("""COMPUTED_VALUE"""),0.7465437788018433)</f>
        <v>0.7465437788</v>
      </c>
    </row>
    <row r="146">
      <c r="A146" s="9">
        <v>46021.0</v>
      </c>
      <c r="B146" s="10"/>
      <c r="C146" s="11"/>
      <c r="D146" s="11"/>
      <c r="E146" s="12"/>
      <c r="F146" s="13"/>
      <c r="G146" s="11"/>
      <c r="H146" s="14"/>
    </row>
    <row r="147">
      <c r="A147" s="35" t="str">
        <f>IFERROR(__xludf.DUMMYFUNCTION("IFERROR(
  IMPORTRANGE(TRIM($A$1), ""'"" &amp; TRIM(A146) &amp; ""'!A282:h296""),
  """"
)"),"Sarah")</f>
        <v>Sarah</v>
      </c>
      <c r="B147" s="36"/>
      <c r="C147" s="105">
        <f>IFERROR(__xludf.DUMMYFUNCTION("""COMPUTED_VALUE"""),0.9184081632653062)</f>
        <v>0.9184081633</v>
      </c>
      <c r="D147" s="106">
        <f>IFERROR(__xludf.DUMMYFUNCTION("""COMPUTED_VALUE"""),1.0439443470908636)</f>
        <v>1.043944347</v>
      </c>
      <c r="E147" s="107">
        <f>IFERROR(__xludf.DUMMYFUNCTION("""COMPUTED_VALUE"""),-2084.500000000001)</f>
        <v>-2084.5</v>
      </c>
      <c r="F147" s="108">
        <f>IFERROR(__xludf.DUMMYFUNCTION("""COMPUTED_VALUE"""),-621.0099999999998)</f>
        <v>-621.01</v>
      </c>
      <c r="G147" s="109">
        <f>IFERROR(__xludf.DUMMYFUNCTION("""COMPUTED_VALUE"""),3.0)</f>
        <v>3</v>
      </c>
      <c r="H147" s="110">
        <f>IFERROR(__xludf.DUMMYFUNCTION("""COMPUTED_VALUE"""),0.8418367346938775)</f>
        <v>0.8418367347</v>
      </c>
    </row>
    <row r="148">
      <c r="A148" s="26" t="str">
        <f>IFERROR(__xludf.DUMMYFUNCTION("""COMPUTED_VALUE"""),"Karen")</f>
        <v>Karen</v>
      </c>
      <c r="B148" s="27"/>
      <c r="C148" s="111">
        <f>IFERROR(__xludf.DUMMYFUNCTION("""COMPUTED_VALUE"""),0.842823899371069)</f>
        <v>0.8428238994</v>
      </c>
      <c r="D148" s="112">
        <f>IFERROR(__xludf.DUMMYFUNCTION("""COMPUTED_VALUE"""),0.988718452489774)</f>
        <v>0.9887184525</v>
      </c>
      <c r="E148" s="113">
        <f>IFERROR(__xludf.DUMMYFUNCTION("""COMPUTED_VALUE"""),-471.64999999999964)</f>
        <v>-471.65</v>
      </c>
      <c r="F148" s="114">
        <f>IFERROR(__xludf.DUMMYFUNCTION("""COMPUTED_VALUE"""),5161.5)</f>
        <v>5161.5</v>
      </c>
      <c r="G148" s="109">
        <f>IFERROR(__xludf.DUMMYFUNCTION("""COMPUTED_VALUE"""),2.0)</f>
        <v>2</v>
      </c>
      <c r="H148" s="115">
        <f>IFERROR(__xludf.DUMMYFUNCTION("""COMPUTED_VALUE"""),0.7453728294701945)</f>
        <v>0.7453728295</v>
      </c>
    </row>
    <row r="149">
      <c r="A149" s="35" t="str">
        <f>IFERROR(__xludf.DUMMYFUNCTION("""COMPUTED_VALUE"""),"Sam")</f>
        <v>Sam</v>
      </c>
      <c r="B149" s="36"/>
      <c r="C149" s="116">
        <f>IFERROR(__xludf.DUMMYFUNCTION("""COMPUTED_VALUE"""),0.9)</f>
        <v>0.9</v>
      </c>
      <c r="D149" s="117">
        <f>IFERROR(__xludf.DUMMYFUNCTION("""COMPUTED_VALUE"""),0.93298588621609)</f>
        <v>0.9329858862</v>
      </c>
      <c r="E149" s="118">
        <f>IFERROR(__xludf.DUMMYFUNCTION("""COMPUTED_VALUE"""),2224.5)</f>
        <v>2224.5</v>
      </c>
      <c r="F149" s="118">
        <f>IFERROR(__xludf.DUMMYFUNCTION("""COMPUTED_VALUE"""),3251.43)</f>
        <v>3251.43</v>
      </c>
      <c r="G149" s="119">
        <f>IFERROR(__xludf.DUMMYFUNCTION("""COMPUTED_VALUE"""),0.0)</f>
        <v>0</v>
      </c>
      <c r="H149" s="120">
        <f>IFERROR(__xludf.DUMMYFUNCTION("""COMPUTED_VALUE"""),0.7222222222222222)</f>
        <v>0.7222222222</v>
      </c>
    </row>
    <row r="150">
      <c r="A150" s="61" t="str">
        <f>IFERROR(__xludf.DUMMYFUNCTION("""COMPUTED_VALUE"""),"Sarah")</f>
        <v>Sarah</v>
      </c>
      <c r="B150" s="61" t="str">
        <f>IFERROR(__xludf.DUMMYFUNCTION("""COMPUTED_VALUE"""),"1511 Sylvan Lane                                                                                                                                                ")</f>
        <v>1511 Sylvan Lane                                                                                                                                                </v>
      </c>
      <c r="C150" s="62">
        <f>IFERROR(__xludf.DUMMYFUNCTION("""COMPUTED_VALUE"""),0.75)</f>
        <v>0.75</v>
      </c>
      <c r="D150" s="63">
        <f>IFERROR(__xludf.DUMMYFUNCTION("""COMPUTED_VALUE"""),0.7008547008547008)</f>
        <v>0.7008547009</v>
      </c>
      <c r="E150" s="64">
        <f>IFERROR(__xludf.DUMMYFUNCTION("""COMPUTED_VALUE"""),875.0)</f>
        <v>875</v>
      </c>
      <c r="F150" s="65">
        <f>IFERROR(__xludf.DUMMYFUNCTION("""COMPUTED_VALUE"""),1058.75)</f>
        <v>1058.75</v>
      </c>
      <c r="G150" s="66">
        <f>IFERROR(__xludf.DUMMYFUNCTION("""COMPUTED_VALUE"""),0.0)</f>
        <v>0</v>
      </c>
      <c r="H150" s="67">
        <f>IFERROR(__xludf.DUMMYFUNCTION("""COMPUTED_VALUE"""),1.0)</f>
        <v>1</v>
      </c>
    </row>
    <row r="151">
      <c r="A151" s="68" t="str">
        <f>IFERROR(__xludf.DUMMYFUNCTION("""COMPUTED_VALUE"""),"Sarah")</f>
        <v>Sarah</v>
      </c>
      <c r="B151" s="68" t="str">
        <f>IFERROR(__xludf.DUMMYFUNCTION("""COMPUTED_VALUE"""),"3909 North Oakland Gravel Road                                                                                                                                                    ")</f>
        <v>3909 North Oakland Gravel Road                                                                                                                                                    </v>
      </c>
      <c r="C151" s="69">
        <f>IFERROR(__xludf.DUMMYFUNCTION("""COMPUTED_VALUE"""),0.667)</f>
        <v>0.667</v>
      </c>
      <c r="D151" s="70">
        <f>IFERROR(__xludf.DUMMYFUNCTION("""COMPUTED_VALUE"""),1.0)</f>
        <v>1</v>
      </c>
      <c r="E151" s="64">
        <f>IFERROR(__xludf.DUMMYFUNCTION("""COMPUTED_VALUE"""),0.0)</f>
        <v>0</v>
      </c>
      <c r="F151" s="71">
        <f>IFERROR(__xludf.DUMMYFUNCTION("""COMPUTED_VALUE"""),0.0)</f>
        <v>0</v>
      </c>
      <c r="G151" s="66">
        <f>IFERROR(__xludf.DUMMYFUNCTION("""COMPUTED_VALUE"""),0.0)</f>
        <v>0</v>
      </c>
      <c r="H151" s="67">
        <f>IFERROR(__xludf.DUMMYFUNCTION("""COMPUTED_VALUE"""),0.75)</f>
        <v>0.75</v>
      </c>
    </row>
    <row r="152">
      <c r="A152" s="61" t="str">
        <f>IFERROR(__xludf.DUMMYFUNCTION("""COMPUTED_VALUE"""),"Sarah")</f>
        <v>Sarah</v>
      </c>
      <c r="B152" s="61" t="str">
        <f>IFERROR(__xludf.DUMMYFUNCTION("""COMPUTED_VALUE"""),"407 Pecan Street                                                                                                                                                  ")</f>
        <v>407 Pecan Street                                                                                                                                                  </v>
      </c>
      <c r="C152" s="62">
        <f>IFERROR(__xludf.DUMMYFUNCTION("""COMPUTED_VALUE"""),0.8)</f>
        <v>0.8</v>
      </c>
      <c r="D152" s="72">
        <f>IFERROR(__xludf.DUMMYFUNCTION("""COMPUTED_VALUE"""),0.7521367521367521)</f>
        <v>0.7521367521</v>
      </c>
      <c r="E152" s="73">
        <f>IFERROR(__xludf.DUMMYFUNCTION("""COMPUTED_VALUE"""),725.0)</f>
        <v>725</v>
      </c>
      <c r="F152" s="74">
        <f>IFERROR(__xludf.DUMMYFUNCTION("""COMPUTED_VALUE"""),1680.0)</f>
        <v>1680</v>
      </c>
      <c r="G152" s="66">
        <f>IFERROR(__xludf.DUMMYFUNCTION("""COMPUTED_VALUE"""),1.0)</f>
        <v>1</v>
      </c>
      <c r="H152" s="67">
        <f>IFERROR(__xludf.DUMMYFUNCTION("""COMPUTED_VALUE"""),0.75)</f>
        <v>0.75</v>
      </c>
    </row>
    <row r="153">
      <c r="A153" s="68" t="str">
        <f>IFERROR(__xludf.DUMMYFUNCTION("""COMPUTED_VALUE"""),"Sarah")</f>
        <v>Sarah</v>
      </c>
      <c r="B153" s="68" t="str">
        <f>IFERROR(__xludf.DUMMYFUNCTION("""COMPUTED_VALUE"""),"801-803 Washington Avenue                                                                                                                                                      ")</f>
        <v>801-803 Washington Avenue                                                                                                                                                      </v>
      </c>
      <c r="C153" s="62">
        <f>IFERROR(__xludf.DUMMYFUNCTION("""COMPUTED_VALUE"""),1.0)</f>
        <v>1</v>
      </c>
      <c r="D153" s="75">
        <f>IFERROR(__xludf.DUMMYFUNCTION("""COMPUTED_VALUE"""),1.0261714285714285)</f>
        <v>1.026171429</v>
      </c>
      <c r="E153" s="64">
        <f>IFERROR(__xludf.DUMMYFUNCTION("""COMPUTED_VALUE"""),-36.64)</f>
        <v>-36.64</v>
      </c>
      <c r="F153" s="76">
        <f>IFERROR(__xludf.DUMMYFUNCTION("""COMPUTED_VALUE"""),-36.64)</f>
        <v>-36.64</v>
      </c>
      <c r="G153" s="66">
        <f>IFERROR(__xludf.DUMMYFUNCTION("""COMPUTED_VALUE"""),0.0)</f>
        <v>0</v>
      </c>
      <c r="H153" s="67">
        <f>IFERROR(__xludf.DUMMYFUNCTION("""COMPUTED_VALUE"""),1.0)</f>
        <v>1</v>
      </c>
    </row>
    <row r="154">
      <c r="A154" s="61" t="str">
        <f>IFERROR(__xludf.DUMMYFUNCTION("""COMPUTED_VALUE"""),"Sarah")</f>
        <v>Sarah</v>
      </c>
      <c r="B154" s="61" t="str">
        <f>IFERROR(__xludf.DUMMYFUNCTION("""COMPUTED_VALUE"""),"811 South Fairview Road                                                                                                                                                    ")</f>
        <v>811 South Fairview Road                                                                                                                                                    </v>
      </c>
      <c r="C154" s="62">
        <f>IFERROR(__xludf.DUMMYFUNCTION("""COMPUTED_VALUE"""),1.0)</f>
        <v>1</v>
      </c>
      <c r="D154" s="77">
        <f>IFERROR(__xludf.DUMMYFUNCTION("""COMPUTED_VALUE"""),1.5)</f>
        <v>1.5</v>
      </c>
      <c r="E154" s="78">
        <f>IFERROR(__xludf.DUMMYFUNCTION("""COMPUTED_VALUE"""),-1200.0)</f>
        <v>-1200</v>
      </c>
      <c r="F154" s="76">
        <f>IFERROR(__xludf.DUMMYFUNCTION("""COMPUTED_VALUE"""),-1200.0)</f>
        <v>-1200</v>
      </c>
      <c r="G154" s="66">
        <f>IFERROR(__xludf.DUMMYFUNCTION("""COMPUTED_VALUE"""),1.0)</f>
        <v>1</v>
      </c>
      <c r="H154" s="67">
        <f>IFERROR(__xludf.DUMMYFUNCTION("""COMPUTED_VALUE"""),1.0)</f>
        <v>1</v>
      </c>
    </row>
    <row r="155">
      <c r="A155" s="79" t="str">
        <f>IFERROR(__xludf.DUMMYFUNCTION("""COMPUTED_VALUE"""),"Karen")</f>
        <v>Karen</v>
      </c>
      <c r="B155" s="68" t="str">
        <f>IFERROR(__xludf.DUMMYFUNCTION("""COMPUTED_VALUE"""),"Glen Oaks ")</f>
        <v>Glen Oaks </v>
      </c>
      <c r="C155" s="80">
        <f>IFERROR(__xludf.DUMMYFUNCTION("""COMPUTED_VALUE"""),0.889)</f>
        <v>0.889</v>
      </c>
      <c r="D155" s="81">
        <f>IFERROR(__xludf.DUMMYFUNCTION("""COMPUTED_VALUE"""),0.9604469128464225)</f>
        <v>0.9604469128</v>
      </c>
      <c r="E155" s="82">
        <f>IFERROR(__xludf.DUMMYFUNCTION("""COMPUTED_VALUE"""),1064.69)</f>
        <v>1064.69</v>
      </c>
      <c r="F155" s="83">
        <f>IFERROR(__xludf.DUMMYFUNCTION("""COMPUTED_VALUE"""),3138.64)</f>
        <v>3138.64</v>
      </c>
      <c r="G155" s="66">
        <f>IFERROR(__xludf.DUMMYFUNCTION("""COMPUTED_VALUE"""),1.0)</f>
        <v>1</v>
      </c>
      <c r="H155" s="67">
        <f>IFERROR(__xludf.DUMMYFUNCTION("""COMPUTED_VALUE"""),0.75)</f>
        <v>0.75</v>
      </c>
    </row>
    <row r="156">
      <c r="A156" s="61" t="str">
        <f>IFERROR(__xludf.DUMMYFUNCTION("""COMPUTED_VALUE"""),"Karen")</f>
        <v>Karen</v>
      </c>
      <c r="B156" s="61" t="str">
        <f>IFERROR(__xludf.DUMMYFUNCTION("""COMPUTED_VALUE"""),"Hilltop Townhomes ")</f>
        <v>Hilltop Townhomes </v>
      </c>
      <c r="C156" s="84">
        <f>IFERROR(__xludf.DUMMYFUNCTION("""COMPUTED_VALUE"""),0.745)</f>
        <v>0.745</v>
      </c>
      <c r="D156" s="81">
        <f>IFERROR(__xludf.DUMMYFUNCTION("""COMPUTED_VALUE"""),0.897502425054275)</f>
        <v>0.8975024251</v>
      </c>
      <c r="E156" s="85">
        <f>IFERROR(__xludf.DUMMYFUNCTION("""COMPUTED_VALUE"""),3012.94)</f>
        <v>3012.94</v>
      </c>
      <c r="F156" s="86">
        <f>IFERROR(__xludf.DUMMYFUNCTION("""COMPUTED_VALUE"""),5862.94)</f>
        <v>5862.94</v>
      </c>
      <c r="G156" s="66">
        <f>IFERROR(__xludf.DUMMYFUNCTION("""COMPUTED_VALUE"""),1.0)</f>
        <v>1</v>
      </c>
      <c r="H156" s="67">
        <f>IFERROR(__xludf.DUMMYFUNCTION("""COMPUTED_VALUE"""),0.868421052631579)</f>
        <v>0.8684210526</v>
      </c>
    </row>
    <row r="157">
      <c r="A157" s="68" t="str">
        <f>IFERROR(__xludf.DUMMYFUNCTION("""COMPUTED_VALUE"""),"Sam")</f>
        <v>Sam</v>
      </c>
      <c r="B157" s="68" t="str">
        <f>IFERROR(__xludf.DUMMYFUNCTION("""COMPUTED_VALUE"""),"Maple Manor Apartments                                                                                                                                             ")</f>
        <v>Maple Manor Apartments                                                                                                                                             </v>
      </c>
      <c r="C157" s="87">
        <f>IFERROR(__xludf.DUMMYFUNCTION("""COMPUTED_VALUE"""),0.9)</f>
        <v>0.9</v>
      </c>
      <c r="D157" s="88">
        <f>IFERROR(__xludf.DUMMYFUNCTION("""COMPUTED_VALUE"""),0.93298588621609)</f>
        <v>0.9329858862</v>
      </c>
      <c r="E157" s="89">
        <f>IFERROR(__xludf.DUMMYFUNCTION("""COMPUTED_VALUE"""),2224.5)</f>
        <v>2224.5</v>
      </c>
      <c r="F157" s="90">
        <f>IFERROR(__xludf.DUMMYFUNCTION("""COMPUTED_VALUE"""),3251.43)</f>
        <v>3251.43</v>
      </c>
      <c r="G157" s="91">
        <f>IFERROR(__xludf.DUMMYFUNCTION("""COMPUTED_VALUE"""),0.0)</f>
        <v>0</v>
      </c>
      <c r="H157" s="92">
        <f>IFERROR(__xludf.DUMMYFUNCTION("""COMPUTED_VALUE"""),0.7222222222222222)</f>
        <v>0.7222222222</v>
      </c>
    </row>
    <row r="158">
      <c r="A158" s="61" t="str">
        <f>IFERROR(__xludf.DUMMYFUNCTION("""COMPUTED_VALUE"""),"Karen")</f>
        <v>Karen</v>
      </c>
      <c r="B158" s="61" t="str">
        <f>IFERROR(__xludf.DUMMYFUNCTION("""COMPUTED_VALUE"""),"Normandy Apartments")</f>
        <v>Normandy Apartments</v>
      </c>
      <c r="C158" s="93">
        <f>IFERROR(__xludf.DUMMYFUNCTION("""COMPUTED_VALUE"""),0.955)</f>
        <v>0.955</v>
      </c>
      <c r="D158" s="94">
        <f>IFERROR(__xludf.DUMMYFUNCTION("""COMPUTED_VALUE"""),1.0469124048730074)</f>
        <v>1.046912405</v>
      </c>
      <c r="E158" s="95">
        <f>IFERROR(__xludf.DUMMYFUNCTION("""COMPUTED_VALUE"""),-748.98)</f>
        <v>-748.98</v>
      </c>
      <c r="F158" s="96">
        <f>IFERROR(__xludf.DUMMYFUNCTION("""COMPUTED_VALUE"""),-748.98)</f>
        <v>-748.98</v>
      </c>
      <c r="G158" s="66">
        <f>IFERROR(__xludf.DUMMYFUNCTION("""COMPUTED_VALUE"""),0.0)</f>
        <v>0</v>
      </c>
      <c r="H158" s="67">
        <f>IFERROR(__xludf.DUMMYFUNCTION("""COMPUTED_VALUE"""),0.6666666666666666)</f>
        <v>0.6666666667</v>
      </c>
    </row>
    <row r="159">
      <c r="A159" s="68" t="str">
        <f>IFERROR(__xludf.DUMMYFUNCTION("""COMPUTED_VALUE"""),"Karen")</f>
        <v>Karen</v>
      </c>
      <c r="B159" s="68" t="str">
        <f>IFERROR(__xludf.DUMMYFUNCTION("""COMPUTED_VALUE"""),"Oakwood Gardens ")</f>
        <v>Oakwood Gardens </v>
      </c>
      <c r="C159" s="97">
        <f>IFERROR(__xludf.DUMMYFUNCTION("""COMPUTED_VALUE"""),0.86)</f>
        <v>0.86</v>
      </c>
      <c r="D159" s="98">
        <f>IFERROR(__xludf.DUMMYFUNCTION("""COMPUTED_VALUE"""),1.0765089699685733)</f>
        <v>1.07650897</v>
      </c>
      <c r="E159" s="99">
        <f>IFERROR(__xludf.DUMMYFUNCTION("""COMPUTED_VALUE"""),-3800.2999999999997)</f>
        <v>-3800.3</v>
      </c>
      <c r="F159" s="100">
        <f>IFERROR(__xludf.DUMMYFUNCTION("""COMPUTED_VALUE"""),-3091.1)</f>
        <v>-3091.1</v>
      </c>
      <c r="G159" s="66">
        <f>IFERROR(__xludf.DUMMYFUNCTION("""COMPUTED_VALUE"""),0.0)</f>
        <v>0</v>
      </c>
      <c r="H159" s="67">
        <f>IFERROR(__xludf.DUMMYFUNCTION("""COMPUTED_VALUE"""),0.6511627906976745)</f>
        <v>0.6511627907</v>
      </c>
    </row>
    <row r="160">
      <c r="A160" s="101" t="str">
        <f>IFERROR(__xludf.DUMMYFUNCTION("""COMPUTED_VALUE"""),"Sarah")</f>
        <v>Sarah</v>
      </c>
      <c r="B160" s="61" t="str">
        <f>IFERROR(__xludf.DUMMYFUNCTION("""COMPUTED_VALUE"""),"Pioneer Apartments ")</f>
        <v>Pioneer Apartments </v>
      </c>
      <c r="C160" s="62">
        <f>IFERROR(__xludf.DUMMYFUNCTION("""COMPUTED_VALUE"""),1.0)</f>
        <v>1</v>
      </c>
      <c r="D160" s="102">
        <f>IFERROR(__xludf.DUMMYFUNCTION("""COMPUTED_VALUE"""),1.1178942528735631)</f>
        <v>1.117894253</v>
      </c>
      <c r="E160" s="103">
        <f>IFERROR(__xludf.DUMMYFUNCTION("""COMPUTED_VALUE"""),-2447.8600000000006)</f>
        <v>-2447.86</v>
      </c>
      <c r="F160" s="104">
        <f>IFERROR(__xludf.DUMMYFUNCTION("""COMPUTED_VALUE"""),-2123.12)</f>
        <v>-2123.12</v>
      </c>
      <c r="G160" s="66">
        <f>IFERROR(__xludf.DUMMYFUNCTION("""COMPUTED_VALUE"""),1.0)</f>
        <v>1</v>
      </c>
      <c r="H160" s="67">
        <f>IFERROR(__xludf.DUMMYFUNCTION("""COMPUTED_VALUE"""),0.8333333333333334)</f>
        <v>0.8333333333</v>
      </c>
    </row>
    <row r="161">
      <c r="A161" s="50"/>
      <c r="B161" s="51"/>
      <c r="C161" s="52">
        <f>IFERROR(__xludf.DUMMYFUNCTION("""COMPUTED_VALUE"""),0.8682357414448669)</f>
        <v>0.8682357414</v>
      </c>
      <c r="D161" s="53">
        <f>IFERROR(__xludf.DUMMYFUNCTION("""COMPUTED_VALUE"""),1.0016180432434443)</f>
        <v>1.001618043</v>
      </c>
      <c r="E161" s="54">
        <f>IFERROR(__xludf.DUMMYFUNCTION("""COMPUTED_VALUE"""),-331.6500000000001)</f>
        <v>-331.65</v>
      </c>
      <c r="F161" s="54">
        <f>IFERROR(__xludf.DUMMYFUNCTION("""COMPUTED_VALUE"""),7791.919999999999)</f>
        <v>7791.92</v>
      </c>
      <c r="G161" s="55">
        <f>IFERROR(__xludf.DUMMYFUNCTION("""COMPUTED_VALUE"""),5.0)</f>
        <v>5</v>
      </c>
      <c r="H161" s="56">
        <f>IFERROR(__xludf.DUMMYFUNCTION("""COMPUTED_VALUE"""),0.7581395348837209)</f>
        <v>0.7581395349</v>
      </c>
    </row>
    <row r="162">
      <c r="A162" s="9">
        <v>46029.0</v>
      </c>
      <c r="B162" s="10"/>
      <c r="C162" s="11"/>
      <c r="D162" s="11"/>
      <c r="E162" s="12"/>
      <c r="F162" s="13"/>
      <c r="G162" s="11"/>
      <c r="H162" s="14"/>
    </row>
    <row r="163">
      <c r="A163" s="35" t="str">
        <f>IFERROR(__xludf.DUMMYFUNCTION("IFERROR(
  IMPORTRANGE(TRIM($A$1), ""'"" &amp; TRIM(A162) &amp; ""'!A282:h296""),
  """"
)"),"Sarah")</f>
        <v>Sarah</v>
      </c>
      <c r="B163" s="36"/>
      <c r="C163" s="105">
        <f>IFERROR(__xludf.DUMMYFUNCTION("""COMPUTED_VALUE"""),0.9184081632653062)</f>
        <v>0.9184081633</v>
      </c>
      <c r="D163" s="106">
        <f>IFERROR(__xludf.DUMMYFUNCTION("""COMPUTED_VALUE"""),0.817700374874118)</f>
        <v>0.8177003749</v>
      </c>
      <c r="E163" s="107">
        <f>IFERROR(__xludf.DUMMYFUNCTION("""COMPUTED_VALUE"""),5633.73)</f>
        <v>5633.73</v>
      </c>
      <c r="F163" s="108">
        <f>IFERROR(__xludf.DUMMYFUNCTION("""COMPUTED_VALUE"""),9585.970000000001)</f>
        <v>9585.97</v>
      </c>
      <c r="G163" s="109">
        <f>IFERROR(__xludf.DUMMYFUNCTION("""COMPUTED_VALUE"""),3.0)</f>
        <v>3</v>
      </c>
      <c r="H163" s="110">
        <f>IFERROR(__xludf.DUMMYFUNCTION("""COMPUTED_VALUE"""),0.8418367346938775)</f>
        <v>0.8418367347</v>
      </c>
    </row>
    <row r="164">
      <c r="A164" s="26" t="str">
        <f>IFERROR(__xludf.DUMMYFUNCTION("""COMPUTED_VALUE"""),"Karen")</f>
        <v>Karen</v>
      </c>
      <c r="B164" s="27"/>
      <c r="C164" s="111">
        <f>IFERROR(__xludf.DUMMYFUNCTION("""COMPUTED_VALUE"""),0.8426352201257861)</f>
        <v>0.8426352201</v>
      </c>
      <c r="D164" s="112">
        <f>IFERROR(__xludf.DUMMYFUNCTION("""COMPUTED_VALUE"""),0.7364158063540222)</f>
        <v>0.7364158064</v>
      </c>
      <c r="E164" s="113">
        <f>IFERROR(__xludf.DUMMYFUNCTION("""COMPUTED_VALUE"""),32324.99)</f>
        <v>32324.99</v>
      </c>
      <c r="F164" s="114">
        <f>IFERROR(__xludf.DUMMYFUNCTION("""COMPUTED_VALUE"""),45795.12)</f>
        <v>45795.12</v>
      </c>
      <c r="G164" s="109">
        <f>IFERROR(__xludf.DUMMYFUNCTION("""COMPUTED_VALUE"""),2.0)</f>
        <v>2</v>
      </c>
      <c r="H164" s="115">
        <f>IFERROR(__xludf.DUMMYFUNCTION("""COMPUTED_VALUE"""),0.7696239460171009)</f>
        <v>0.769623946</v>
      </c>
    </row>
    <row r="165">
      <c r="A165" s="35" t="str">
        <f>IFERROR(__xludf.DUMMYFUNCTION("""COMPUTED_VALUE"""),"Sam")</f>
        <v>Sam</v>
      </c>
      <c r="B165" s="36"/>
      <c r="C165" s="116">
        <f>IFERROR(__xludf.DUMMYFUNCTION("""COMPUTED_VALUE"""),0.925)</f>
        <v>0.925</v>
      </c>
      <c r="D165" s="117">
        <f>IFERROR(__xludf.DUMMYFUNCTION("""COMPUTED_VALUE"""),0.48103566679817067)</f>
        <v>0.4810356668</v>
      </c>
      <c r="E165" s="118">
        <f>IFERROR(__xludf.DUMMYFUNCTION("""COMPUTED_VALUE"""),17758.699999999997)</f>
        <v>17758.7</v>
      </c>
      <c r="F165" s="118">
        <f>IFERROR(__xludf.DUMMYFUNCTION("""COMPUTED_VALUE"""),21149.28)</f>
        <v>21149.28</v>
      </c>
      <c r="G165" s="119">
        <f>IFERROR(__xludf.DUMMYFUNCTION("""COMPUTED_VALUE"""),0.0)</f>
        <v>0</v>
      </c>
      <c r="H165" s="120">
        <f>IFERROR(__xludf.DUMMYFUNCTION("""COMPUTED_VALUE"""),0.7297297297297297)</f>
        <v>0.7297297297</v>
      </c>
    </row>
    <row r="166">
      <c r="A166" s="61" t="str">
        <f>IFERROR(__xludf.DUMMYFUNCTION("""COMPUTED_VALUE"""),"Sarah")</f>
        <v>Sarah</v>
      </c>
      <c r="B166" s="61" t="str">
        <f>IFERROR(__xludf.DUMMYFUNCTION("""COMPUTED_VALUE"""),"1511 Sylvan Lane                                                                                                                                                ")</f>
        <v>1511 Sylvan Lane                                                                                                                                                </v>
      </c>
      <c r="C166" s="62">
        <f>IFERROR(__xludf.DUMMYFUNCTION("""COMPUTED_VALUE"""),0.75)</f>
        <v>0.75</v>
      </c>
      <c r="D166" s="63">
        <f>IFERROR(__xludf.DUMMYFUNCTION("""COMPUTED_VALUE"""),0.7008547008547008)</f>
        <v>0.7008547009</v>
      </c>
      <c r="E166" s="64">
        <f>IFERROR(__xludf.DUMMYFUNCTION("""COMPUTED_VALUE"""),875.0)</f>
        <v>875</v>
      </c>
      <c r="F166" s="65">
        <f>IFERROR(__xludf.DUMMYFUNCTION("""COMPUTED_VALUE"""),1157.5)</f>
        <v>1157.5</v>
      </c>
      <c r="G166" s="66">
        <f>IFERROR(__xludf.DUMMYFUNCTION("""COMPUTED_VALUE"""),0.0)</f>
        <v>0</v>
      </c>
      <c r="H166" s="67">
        <f>IFERROR(__xludf.DUMMYFUNCTION("""COMPUTED_VALUE"""),1.0)</f>
        <v>1</v>
      </c>
    </row>
    <row r="167">
      <c r="A167" s="68" t="str">
        <f>IFERROR(__xludf.DUMMYFUNCTION("""COMPUTED_VALUE"""),"Sarah")</f>
        <v>Sarah</v>
      </c>
      <c r="B167" s="68" t="str">
        <f>IFERROR(__xludf.DUMMYFUNCTION("""COMPUTED_VALUE"""),"3909 North Oakland Gravel Road                                                                                                                                                    ")</f>
        <v>3909 North Oakland Gravel Road                                                                                                                                                    </v>
      </c>
      <c r="C167" s="69">
        <f>IFERROR(__xludf.DUMMYFUNCTION("""COMPUTED_VALUE"""),0.667)</f>
        <v>0.667</v>
      </c>
      <c r="D167" s="70">
        <f>IFERROR(__xludf.DUMMYFUNCTION("""COMPUTED_VALUE"""),1.0)</f>
        <v>1</v>
      </c>
      <c r="E167" s="64">
        <f>IFERROR(__xludf.DUMMYFUNCTION("""COMPUTED_VALUE"""),0.0)</f>
        <v>0</v>
      </c>
      <c r="F167" s="71">
        <f>IFERROR(__xludf.DUMMYFUNCTION("""COMPUTED_VALUE"""),0.0)</f>
        <v>0</v>
      </c>
      <c r="G167" s="66">
        <f>IFERROR(__xludf.DUMMYFUNCTION("""COMPUTED_VALUE"""),0.0)</f>
        <v>0</v>
      </c>
      <c r="H167" s="67">
        <f>IFERROR(__xludf.DUMMYFUNCTION("""COMPUTED_VALUE"""),0.75)</f>
        <v>0.75</v>
      </c>
    </row>
    <row r="168">
      <c r="A168" s="61" t="str">
        <f>IFERROR(__xludf.DUMMYFUNCTION("""COMPUTED_VALUE"""),"Sarah")</f>
        <v>Sarah</v>
      </c>
      <c r="B168" s="61" t="str">
        <f>IFERROR(__xludf.DUMMYFUNCTION("""COMPUTED_VALUE"""),"407 Pecan Street                                                                                                                                                  ")</f>
        <v>407 Pecan Street                                                                                                                                                  </v>
      </c>
      <c r="C168" s="62">
        <f>IFERROR(__xludf.DUMMYFUNCTION("""COMPUTED_VALUE"""),0.8)</f>
        <v>0.8</v>
      </c>
      <c r="D168" s="72">
        <f>IFERROR(__xludf.DUMMYFUNCTION("""COMPUTED_VALUE"""),0.7521367521367521)</f>
        <v>0.7521367521</v>
      </c>
      <c r="E168" s="73">
        <f>IFERROR(__xludf.DUMMYFUNCTION("""COMPUTED_VALUE"""),725.0)</f>
        <v>725</v>
      </c>
      <c r="F168" s="74">
        <f>IFERROR(__xludf.DUMMYFUNCTION("""COMPUTED_VALUE"""),2461.25)</f>
        <v>2461.25</v>
      </c>
      <c r="G168" s="66">
        <f>IFERROR(__xludf.DUMMYFUNCTION("""COMPUTED_VALUE"""),1.0)</f>
        <v>1</v>
      </c>
      <c r="H168" s="67">
        <f>IFERROR(__xludf.DUMMYFUNCTION("""COMPUTED_VALUE"""),0.75)</f>
        <v>0.75</v>
      </c>
    </row>
    <row r="169">
      <c r="A169" s="68" t="str">
        <f>IFERROR(__xludf.DUMMYFUNCTION("""COMPUTED_VALUE"""),"Sarah")</f>
        <v>Sarah</v>
      </c>
      <c r="B169" s="68" t="str">
        <f>IFERROR(__xludf.DUMMYFUNCTION("""COMPUTED_VALUE"""),"801-803 Washington Avenue                                                                                                                                                      ")</f>
        <v>801-803 Washington Avenue                                                                                                                                                      </v>
      </c>
      <c r="C169" s="62">
        <f>IFERROR(__xludf.DUMMYFUNCTION("""COMPUTED_VALUE"""),1.0)</f>
        <v>1</v>
      </c>
      <c r="D169" s="75">
        <f>IFERROR(__xludf.DUMMYFUNCTION("""COMPUTED_VALUE"""),0.9350266666666667)</f>
        <v>0.9350266667</v>
      </c>
      <c r="E169" s="64">
        <f>IFERROR(__xludf.DUMMYFUNCTION("""COMPUTED_VALUE"""),97.46000000000001)</f>
        <v>97.46</v>
      </c>
      <c r="F169" s="76">
        <f>IFERROR(__xludf.DUMMYFUNCTION("""COMPUTED_VALUE"""),97.46)</f>
        <v>97.46</v>
      </c>
      <c r="G169" s="66">
        <f>IFERROR(__xludf.DUMMYFUNCTION("""COMPUTED_VALUE"""),0.0)</f>
        <v>0</v>
      </c>
      <c r="H169" s="67">
        <f>IFERROR(__xludf.DUMMYFUNCTION("""COMPUTED_VALUE"""),1.0)</f>
        <v>1</v>
      </c>
    </row>
    <row r="170">
      <c r="A170" s="61" t="str">
        <f>IFERROR(__xludf.DUMMYFUNCTION("""COMPUTED_VALUE"""),"Sarah")</f>
        <v>Sarah</v>
      </c>
      <c r="B170" s="61" t="str">
        <f>IFERROR(__xludf.DUMMYFUNCTION("""COMPUTED_VALUE"""),"811 South Fairview Road                                                                                                                                                    ")</f>
        <v>811 South Fairview Road                                                                                                                                                    </v>
      </c>
      <c r="C170" s="62">
        <f>IFERROR(__xludf.DUMMYFUNCTION("""COMPUTED_VALUE"""),1.0)</f>
        <v>1</v>
      </c>
      <c r="D170" s="77">
        <f>IFERROR(__xludf.DUMMYFUNCTION("""COMPUTED_VALUE"""),1.0)</f>
        <v>1</v>
      </c>
      <c r="E170" s="78">
        <f>IFERROR(__xludf.DUMMYFUNCTION("""COMPUTED_VALUE"""),0.0)</f>
        <v>0</v>
      </c>
      <c r="F170" s="76">
        <f>IFERROR(__xludf.DUMMYFUNCTION("""COMPUTED_VALUE"""),0.0)</f>
        <v>0</v>
      </c>
      <c r="G170" s="66">
        <f>IFERROR(__xludf.DUMMYFUNCTION("""COMPUTED_VALUE"""),1.0)</f>
        <v>1</v>
      </c>
      <c r="H170" s="67">
        <f>IFERROR(__xludf.DUMMYFUNCTION("""COMPUTED_VALUE"""),1.0)</f>
        <v>1</v>
      </c>
    </row>
    <row r="171">
      <c r="A171" s="79" t="str">
        <f>IFERROR(__xludf.DUMMYFUNCTION("""COMPUTED_VALUE"""),"Karen")</f>
        <v>Karen</v>
      </c>
      <c r="B171" s="68" t="str">
        <f>IFERROR(__xludf.DUMMYFUNCTION("""COMPUTED_VALUE"""),"Glen Oaks ")</f>
        <v>Glen Oaks </v>
      </c>
      <c r="C171" s="80">
        <f>IFERROR(__xludf.DUMMYFUNCTION("""COMPUTED_VALUE"""),0.889)</f>
        <v>0.889</v>
      </c>
      <c r="D171" s="81">
        <f>IFERROR(__xludf.DUMMYFUNCTION("""COMPUTED_VALUE"""),0.6708610297916309)</f>
        <v>0.6708610298</v>
      </c>
      <c r="E171" s="82">
        <f>IFERROR(__xludf.DUMMYFUNCTION("""COMPUTED_VALUE"""),9556.550000000001)</f>
        <v>9556.55</v>
      </c>
      <c r="F171" s="83">
        <f>IFERROR(__xludf.DUMMYFUNCTION("""COMPUTED_VALUE"""),14458.87)</f>
        <v>14458.87</v>
      </c>
      <c r="G171" s="66">
        <f>IFERROR(__xludf.DUMMYFUNCTION("""COMPUTED_VALUE"""),1.0)</f>
        <v>1</v>
      </c>
      <c r="H171" s="67">
        <f>IFERROR(__xludf.DUMMYFUNCTION("""COMPUTED_VALUE"""),0.75)</f>
        <v>0.75</v>
      </c>
    </row>
    <row r="172">
      <c r="A172" s="61" t="str">
        <f>IFERROR(__xludf.DUMMYFUNCTION("""COMPUTED_VALUE"""),"Karen")</f>
        <v>Karen</v>
      </c>
      <c r="B172" s="61" t="str">
        <f>IFERROR(__xludf.DUMMYFUNCTION("""COMPUTED_VALUE"""),"Hilltop Townhomes ")</f>
        <v>Hilltop Townhomes </v>
      </c>
      <c r="C172" s="84">
        <f>IFERROR(__xludf.DUMMYFUNCTION("""COMPUTED_VALUE"""),0.725)</f>
        <v>0.725</v>
      </c>
      <c r="D172" s="81">
        <f>IFERROR(__xludf.DUMMYFUNCTION("""COMPUTED_VALUE"""),0.6291941143445308)</f>
        <v>0.6291941143</v>
      </c>
      <c r="E172" s="85">
        <f>IFERROR(__xludf.DUMMYFUNCTION("""COMPUTED_VALUE"""),13169.76)</f>
        <v>13169.76</v>
      </c>
      <c r="F172" s="86">
        <f>IFERROR(__xludf.DUMMYFUNCTION("""COMPUTED_VALUE"""),18532.66)</f>
        <v>18532.66</v>
      </c>
      <c r="G172" s="66">
        <f>IFERROR(__xludf.DUMMYFUNCTION("""COMPUTED_VALUE"""),1.0)</f>
        <v>1</v>
      </c>
      <c r="H172" s="67">
        <f>IFERROR(__xludf.DUMMYFUNCTION("""COMPUTED_VALUE"""),0.8918918918918919)</f>
        <v>0.8918918919</v>
      </c>
    </row>
    <row r="173">
      <c r="A173" s="68" t="str">
        <f>IFERROR(__xludf.DUMMYFUNCTION("""COMPUTED_VALUE"""),"Sam")</f>
        <v>Sam</v>
      </c>
      <c r="B173" s="68" t="str">
        <f>IFERROR(__xludf.DUMMYFUNCTION("""COMPUTED_VALUE"""),"Maple Manor Apartments                                                                                                                                             ")</f>
        <v>Maple Manor Apartments                                                                                                                                             </v>
      </c>
      <c r="C173" s="87">
        <f>IFERROR(__xludf.DUMMYFUNCTION("""COMPUTED_VALUE"""),0.925)</f>
        <v>0.925</v>
      </c>
      <c r="D173" s="88">
        <f>IFERROR(__xludf.DUMMYFUNCTION("""COMPUTED_VALUE"""),0.4810356667981707)</f>
        <v>0.4810356668</v>
      </c>
      <c r="E173" s="89">
        <f>IFERROR(__xludf.DUMMYFUNCTION("""COMPUTED_VALUE"""),17758.699999999997)</f>
        <v>17758.7</v>
      </c>
      <c r="F173" s="90">
        <f>IFERROR(__xludf.DUMMYFUNCTION("""COMPUTED_VALUE"""),21149.28)</f>
        <v>21149.28</v>
      </c>
      <c r="G173" s="91">
        <f>IFERROR(__xludf.DUMMYFUNCTION("""COMPUTED_VALUE"""),0.0)</f>
        <v>0</v>
      </c>
      <c r="H173" s="92">
        <f>IFERROR(__xludf.DUMMYFUNCTION("""COMPUTED_VALUE"""),0.7297297297297297)</f>
        <v>0.7297297297</v>
      </c>
    </row>
    <row r="174">
      <c r="A174" s="61" t="str">
        <f>IFERROR(__xludf.DUMMYFUNCTION("""COMPUTED_VALUE"""),"Karen")</f>
        <v>Karen</v>
      </c>
      <c r="B174" s="61" t="str">
        <f>IFERROR(__xludf.DUMMYFUNCTION("""COMPUTED_VALUE"""),"Normandy Apartments")</f>
        <v>Normandy Apartments</v>
      </c>
      <c r="C174" s="93">
        <f>IFERROR(__xludf.DUMMYFUNCTION("""COMPUTED_VALUE"""),1.0)</f>
        <v>1</v>
      </c>
      <c r="D174" s="94">
        <f>IFERROR(__xludf.DUMMYFUNCTION("""COMPUTED_VALUE"""),0.7173112092294545)</f>
        <v>0.7173112092</v>
      </c>
      <c r="E174" s="95">
        <f>IFERROR(__xludf.DUMMYFUNCTION("""COMPUTED_VALUE"""),4568.52)</f>
        <v>4568.52</v>
      </c>
      <c r="F174" s="96">
        <f>IFERROR(__xludf.DUMMYFUNCTION("""COMPUTED_VALUE"""),5355.27)</f>
        <v>5355.27</v>
      </c>
      <c r="G174" s="66">
        <f>IFERROR(__xludf.DUMMYFUNCTION("""COMPUTED_VALUE"""),0.0)</f>
        <v>0</v>
      </c>
      <c r="H174" s="67">
        <f>IFERROR(__xludf.DUMMYFUNCTION("""COMPUTED_VALUE"""),0.6818181818181818)</f>
        <v>0.6818181818</v>
      </c>
    </row>
    <row r="175">
      <c r="A175" s="68" t="str">
        <f>IFERROR(__xludf.DUMMYFUNCTION("""COMPUTED_VALUE"""),"Karen")</f>
        <v>Karen</v>
      </c>
      <c r="B175" s="68" t="str">
        <f>IFERROR(__xludf.DUMMYFUNCTION("""COMPUTED_VALUE"""),"Oakwood Gardens ")</f>
        <v>Oakwood Gardens </v>
      </c>
      <c r="C175" s="97">
        <f>IFERROR(__xludf.DUMMYFUNCTION("""COMPUTED_VALUE"""),0.86)</f>
        <v>0.86</v>
      </c>
      <c r="D175" s="98">
        <f>IFERROR(__xludf.DUMMYFUNCTION("""COMPUTED_VALUE"""),0.9013873940634354)</f>
        <v>0.9013873941</v>
      </c>
      <c r="E175" s="99">
        <f>IFERROR(__xludf.DUMMYFUNCTION("""COMPUTED_VALUE"""),5030.16)</f>
        <v>5030.16</v>
      </c>
      <c r="F175" s="100">
        <f>IFERROR(__xludf.DUMMYFUNCTION("""COMPUTED_VALUE"""),7448.32)</f>
        <v>7448.32</v>
      </c>
      <c r="G175" s="66">
        <f>IFERROR(__xludf.DUMMYFUNCTION("""COMPUTED_VALUE"""),0.0)</f>
        <v>0</v>
      </c>
      <c r="H175" s="67">
        <f>IFERROR(__xludf.DUMMYFUNCTION("""COMPUTED_VALUE"""),0.6976744186046512)</f>
        <v>0.6976744186</v>
      </c>
    </row>
    <row r="176">
      <c r="A176" s="101" t="str">
        <f>IFERROR(__xludf.DUMMYFUNCTION("""COMPUTED_VALUE"""),"Sarah")</f>
        <v>Sarah</v>
      </c>
      <c r="B176" s="61" t="str">
        <f>IFERROR(__xludf.DUMMYFUNCTION("""COMPUTED_VALUE"""),"Pioneer Apartments ")</f>
        <v>Pioneer Apartments </v>
      </c>
      <c r="C176" s="62">
        <f>IFERROR(__xludf.DUMMYFUNCTION("""COMPUTED_VALUE"""),1.0)</f>
        <v>1</v>
      </c>
      <c r="D176" s="102">
        <f>IFERROR(__xludf.DUMMYFUNCTION("""COMPUTED_VALUE"""),0.7877720823798627)</f>
        <v>0.7877720824</v>
      </c>
      <c r="E176" s="103">
        <f>IFERROR(__xludf.DUMMYFUNCTION("""COMPUTED_VALUE"""),3936.2699999999995)</f>
        <v>3936.27</v>
      </c>
      <c r="F176" s="104">
        <f>IFERROR(__xludf.DUMMYFUNCTION("""COMPUTED_VALUE"""),5869.76)</f>
        <v>5869.76</v>
      </c>
      <c r="G176" s="66">
        <f>IFERROR(__xludf.DUMMYFUNCTION("""COMPUTED_VALUE"""),1.0)</f>
        <v>1</v>
      </c>
      <c r="H176" s="67">
        <f>IFERROR(__xludf.DUMMYFUNCTION("""COMPUTED_VALUE"""),0.8333333333333334)</f>
        <v>0.8333333333</v>
      </c>
    </row>
    <row r="177">
      <c r="A177" s="50"/>
      <c r="B177" s="51"/>
      <c r="C177" s="52">
        <f>IFERROR(__xludf.DUMMYFUNCTION("""COMPUTED_VALUE"""),0.8719239543726236)</f>
        <v>0.8719239544</v>
      </c>
      <c r="D177" s="53">
        <f>IFERROR(__xludf.DUMMYFUNCTION("""COMPUTED_VALUE"""),0.7361074904990508)</f>
        <v>0.7361074905</v>
      </c>
      <c r="E177" s="54">
        <f>IFERROR(__xludf.DUMMYFUNCTION("""COMPUTED_VALUE"""),55717.420000000006)</f>
        <v>55717.42</v>
      </c>
      <c r="F177" s="54">
        <f>IFERROR(__xludf.DUMMYFUNCTION("""COMPUTED_VALUE"""),76530.37000000001)</f>
        <v>76530.37</v>
      </c>
      <c r="G177" s="55">
        <f>IFERROR(__xludf.DUMMYFUNCTION("""COMPUTED_VALUE"""),5.0)</f>
        <v>5</v>
      </c>
      <c r="H177" s="56">
        <f>IFERROR(__xludf.DUMMYFUNCTION("""COMPUTED_VALUE"""),0.7731481481481481)</f>
        <v>0.7731481481</v>
      </c>
    </row>
    <row r="178">
      <c r="A178" s="9">
        <v>46034.0</v>
      </c>
      <c r="B178" s="10"/>
      <c r="C178" s="11"/>
      <c r="D178" s="11"/>
      <c r="E178" s="12"/>
      <c r="F178" s="13"/>
      <c r="G178" s="11"/>
      <c r="H178" s="14"/>
    </row>
    <row r="179">
      <c r="A179" s="35" t="str">
        <f>IFERROR(__xludf.DUMMYFUNCTION("IFERROR(
  IMPORTRANGE(TRIM($A$1), ""'"" &amp; TRIM(A178) &amp; ""'!A282:h296""),
  """"
)"),"Sarah")</f>
        <v>Sarah</v>
      </c>
      <c r="B179" s="36"/>
      <c r="C179" s="105">
        <f>IFERROR(__xludf.DUMMYFUNCTION("""COMPUTED_VALUE"""),0.9184081632653062)</f>
        <v>0.9184081633</v>
      </c>
      <c r="D179" s="106">
        <f>IFERROR(__xludf.DUMMYFUNCTION("""COMPUTED_VALUE"""),0.7932668157755426)</f>
        <v>0.7932668158</v>
      </c>
      <c r="E179" s="107">
        <f>IFERROR(__xludf.DUMMYFUNCTION("""COMPUTED_VALUE"""),6242.290000000001)</f>
        <v>6242.29</v>
      </c>
      <c r="F179" s="108">
        <f>IFERROR(__xludf.DUMMYFUNCTION("""COMPUTED_VALUE"""),10633.970000000001)</f>
        <v>10633.97</v>
      </c>
      <c r="G179" s="109">
        <f>IFERROR(__xludf.DUMMYFUNCTION("""COMPUTED_VALUE"""),3.0)</f>
        <v>3</v>
      </c>
      <c r="H179" s="110">
        <f>IFERROR(__xludf.DUMMYFUNCTION("""COMPUTED_VALUE"""),0.8622448979591837)</f>
        <v>0.862244898</v>
      </c>
    </row>
    <row r="180">
      <c r="A180" s="26" t="str">
        <f>IFERROR(__xludf.DUMMYFUNCTION("""COMPUTED_VALUE"""),"Karen")</f>
        <v>Karen</v>
      </c>
      <c r="B180" s="27"/>
      <c r="C180" s="111">
        <f>IFERROR(__xludf.DUMMYFUNCTION("""COMPUTED_VALUE"""),0.8474519774011299)</f>
        <v>0.8474519774</v>
      </c>
      <c r="D180" s="112">
        <f>IFERROR(__xludf.DUMMYFUNCTION("""COMPUTED_VALUE"""),0.7497738436394072)</f>
        <v>0.7497738436</v>
      </c>
      <c r="E180" s="113">
        <f>IFERROR(__xludf.DUMMYFUNCTION("""COMPUTED_VALUE"""),30382.44)</f>
        <v>30382.44</v>
      </c>
      <c r="F180" s="114">
        <f>IFERROR(__xludf.DUMMYFUNCTION("""COMPUTED_VALUE"""),44087.5)</f>
        <v>44087.5</v>
      </c>
      <c r="G180" s="109">
        <f>IFERROR(__xludf.DUMMYFUNCTION("""COMPUTED_VALUE"""),2.0)</f>
        <v>2</v>
      </c>
      <c r="H180" s="115">
        <f>IFERROR(__xludf.DUMMYFUNCTION("""COMPUTED_VALUE"""),0.7848054810614196)</f>
        <v>0.7848054811</v>
      </c>
    </row>
    <row r="181">
      <c r="A181" s="35" t="str">
        <f>IFERROR(__xludf.DUMMYFUNCTION("""COMPUTED_VALUE"""),"Sam")</f>
        <v>Sam</v>
      </c>
      <c r="B181" s="36"/>
      <c r="C181" s="116">
        <f>IFERROR(__xludf.DUMMYFUNCTION("""COMPUTED_VALUE"""),1.0)</f>
        <v>1</v>
      </c>
      <c r="D181" s="117">
        <f>IFERROR(__xludf.DUMMYFUNCTION("""COMPUTED_VALUE"""),0.7779293547927645)</f>
        <v>0.7779293548</v>
      </c>
      <c r="E181" s="118">
        <f>IFERROR(__xludf.DUMMYFUNCTION("""COMPUTED_VALUE"""),3619.52)</f>
        <v>3619.52</v>
      </c>
      <c r="F181" s="118">
        <f>IFERROR(__xludf.DUMMYFUNCTION("""COMPUTED_VALUE"""),4176.27)</f>
        <v>4176.27</v>
      </c>
      <c r="G181" s="119">
        <f>IFERROR(__xludf.DUMMYFUNCTION("""COMPUTED_VALUE"""),0.0)</f>
        <v>0</v>
      </c>
      <c r="H181" s="120">
        <f>IFERROR(__xludf.DUMMYFUNCTION("""COMPUTED_VALUE"""),0.6818181818181818)</f>
        <v>0.6818181818</v>
      </c>
    </row>
    <row r="182">
      <c r="A182" s="61" t="str">
        <f>IFERROR(__xludf.DUMMYFUNCTION("""COMPUTED_VALUE"""),"Sarah")</f>
        <v>Sarah</v>
      </c>
      <c r="B182" s="61" t="str">
        <f>IFERROR(__xludf.DUMMYFUNCTION("""COMPUTED_VALUE"""),"1511 Sylvan Lane                                                                                                                                                ")</f>
        <v>1511 Sylvan Lane                                                                                                                                                </v>
      </c>
      <c r="C182" s="62">
        <f>IFERROR(__xludf.DUMMYFUNCTION("""COMPUTED_VALUE"""),0.75)</f>
        <v>0.75</v>
      </c>
      <c r="D182" s="63">
        <f>IFERROR(__xludf.DUMMYFUNCTION("""COMPUTED_VALUE"""),0.8607329842931937)</f>
        <v>0.8607329843</v>
      </c>
      <c r="E182" s="64">
        <f>IFERROR(__xludf.DUMMYFUNCTION("""COMPUTED_VALUE"""),332.5)</f>
        <v>332.5</v>
      </c>
      <c r="F182" s="65">
        <f>IFERROR(__xludf.DUMMYFUNCTION("""COMPUTED_VALUE"""),332.5)</f>
        <v>332.5</v>
      </c>
      <c r="G182" s="66">
        <f>IFERROR(__xludf.DUMMYFUNCTION("""COMPUTED_VALUE"""),0.0)</f>
        <v>0</v>
      </c>
      <c r="H182" s="67">
        <f>IFERROR(__xludf.DUMMYFUNCTION("""COMPUTED_VALUE"""),1.0)</f>
        <v>1</v>
      </c>
    </row>
    <row r="183">
      <c r="A183" s="68" t="str">
        <f>IFERROR(__xludf.DUMMYFUNCTION("""COMPUTED_VALUE"""),"Sarah")</f>
        <v>Sarah</v>
      </c>
      <c r="B183" s="68" t="str">
        <f>IFERROR(__xludf.DUMMYFUNCTION("""COMPUTED_VALUE"""),"3909 North Oakland Gravel Road                                                                                                                                                    ")</f>
        <v>3909 North Oakland Gravel Road                                                                                                                                                    </v>
      </c>
      <c r="C183" s="69">
        <f>IFERROR(__xludf.DUMMYFUNCTION("""COMPUTED_VALUE"""),0.667)</f>
        <v>0.667</v>
      </c>
      <c r="D183" s="70">
        <f>IFERROR(__xludf.DUMMYFUNCTION("""COMPUTED_VALUE"""),1.0)</f>
        <v>1</v>
      </c>
      <c r="E183" s="64">
        <f>IFERROR(__xludf.DUMMYFUNCTION("""COMPUTED_VALUE"""),0.0)</f>
        <v>0</v>
      </c>
      <c r="F183" s="71">
        <f>IFERROR(__xludf.DUMMYFUNCTION("""COMPUTED_VALUE"""),0.0)</f>
        <v>0</v>
      </c>
      <c r="G183" s="66">
        <f>IFERROR(__xludf.DUMMYFUNCTION("""COMPUTED_VALUE"""),0.0)</f>
        <v>0</v>
      </c>
      <c r="H183" s="67">
        <f>IFERROR(__xludf.DUMMYFUNCTION("""COMPUTED_VALUE"""),0.75)</f>
        <v>0.75</v>
      </c>
    </row>
    <row r="184">
      <c r="A184" s="61" t="str">
        <f>IFERROR(__xludf.DUMMYFUNCTION("""COMPUTED_VALUE"""),"Sarah")</f>
        <v>Sarah</v>
      </c>
      <c r="B184" s="61" t="str">
        <f>IFERROR(__xludf.DUMMYFUNCTION("""COMPUTED_VALUE"""),"407 Pecan Street                                                                                                                                                  ")</f>
        <v>407 Pecan Street                                                                                                                                                  </v>
      </c>
      <c r="C184" s="62">
        <f>IFERROR(__xludf.DUMMYFUNCTION("""COMPUTED_VALUE"""),0.8)</f>
        <v>0.8</v>
      </c>
      <c r="D184" s="72">
        <f>IFERROR(__xludf.DUMMYFUNCTION("""COMPUTED_VALUE"""),0.7521367521367521)</f>
        <v>0.7521367521</v>
      </c>
      <c r="E184" s="73">
        <f>IFERROR(__xludf.DUMMYFUNCTION("""COMPUTED_VALUE"""),725.0)</f>
        <v>725</v>
      </c>
      <c r="F184" s="74">
        <f>IFERROR(__xludf.DUMMYFUNCTION("""COMPUTED_VALUE"""),2820.25)</f>
        <v>2820.25</v>
      </c>
      <c r="G184" s="66">
        <f>IFERROR(__xludf.DUMMYFUNCTION("""COMPUTED_VALUE"""),1.0)</f>
        <v>1</v>
      </c>
      <c r="H184" s="67">
        <f>IFERROR(__xludf.DUMMYFUNCTION("""COMPUTED_VALUE"""),0.75)</f>
        <v>0.75</v>
      </c>
    </row>
    <row r="185">
      <c r="A185" s="68" t="str">
        <f>IFERROR(__xludf.DUMMYFUNCTION("""COMPUTED_VALUE"""),"Sarah")</f>
        <v>Sarah</v>
      </c>
      <c r="B185" s="68" t="str">
        <f>IFERROR(__xludf.DUMMYFUNCTION("""COMPUTED_VALUE"""),"801-803 Washington Avenue                                                                                                                                                      ")</f>
        <v>801-803 Washington Avenue                                                                                                                                                      </v>
      </c>
      <c r="C185" s="62">
        <f>IFERROR(__xludf.DUMMYFUNCTION("""COMPUTED_VALUE"""),1.0)</f>
        <v>1</v>
      </c>
      <c r="D185" s="75">
        <f>IFERROR(__xludf.DUMMYFUNCTION("""COMPUTED_VALUE"""),0.8600139534883721)</f>
        <v>0.8600139535</v>
      </c>
      <c r="E185" s="64">
        <f>IFERROR(__xludf.DUMMYFUNCTION("""COMPUTED_VALUE"""),197.46)</f>
        <v>197.46</v>
      </c>
      <c r="F185" s="76">
        <f>IFERROR(__xludf.DUMMYFUNCTION("""COMPUTED_VALUE"""),197.46)</f>
        <v>197.46</v>
      </c>
      <c r="G185" s="66">
        <f>IFERROR(__xludf.DUMMYFUNCTION("""COMPUTED_VALUE"""),0.0)</f>
        <v>0</v>
      </c>
      <c r="H185" s="67">
        <f>IFERROR(__xludf.DUMMYFUNCTION("""COMPUTED_VALUE"""),1.0)</f>
        <v>1</v>
      </c>
    </row>
    <row r="186">
      <c r="A186" s="61" t="str">
        <f>IFERROR(__xludf.DUMMYFUNCTION("""COMPUTED_VALUE"""),"Sarah")</f>
        <v>Sarah</v>
      </c>
      <c r="B186" s="61" t="str">
        <f>IFERROR(__xludf.DUMMYFUNCTION("""COMPUTED_VALUE"""),"811 South Fairview Road                                                                                                                                                    ")</f>
        <v>811 South Fairview Road                                                                                                                                                    </v>
      </c>
      <c r="C186" s="62">
        <f>IFERROR(__xludf.DUMMYFUNCTION("""COMPUTED_VALUE"""),1.0)</f>
        <v>1</v>
      </c>
      <c r="D186" s="77">
        <f>IFERROR(__xludf.DUMMYFUNCTION("""COMPUTED_VALUE"""),1.0)</f>
        <v>1</v>
      </c>
      <c r="E186" s="78">
        <f>IFERROR(__xludf.DUMMYFUNCTION("""COMPUTED_VALUE"""),0.0)</f>
        <v>0</v>
      </c>
      <c r="F186" s="76">
        <f>IFERROR(__xludf.DUMMYFUNCTION("""COMPUTED_VALUE"""),0.0)</f>
        <v>0</v>
      </c>
      <c r="G186" s="66">
        <f>IFERROR(__xludf.DUMMYFUNCTION("""COMPUTED_VALUE"""),1.0)</f>
        <v>1</v>
      </c>
      <c r="H186" s="67">
        <f>IFERROR(__xludf.DUMMYFUNCTION("""COMPUTED_VALUE"""),1.0)</f>
        <v>1</v>
      </c>
    </row>
    <row r="187">
      <c r="A187" s="79" t="str">
        <f>IFERROR(__xludf.DUMMYFUNCTION("""COMPUTED_VALUE"""),"Karen")</f>
        <v>Karen</v>
      </c>
      <c r="B187" s="68" t="str">
        <f>IFERROR(__xludf.DUMMYFUNCTION("""COMPUTED_VALUE"""),"Glen Oaks ")</f>
        <v>Glen Oaks </v>
      </c>
      <c r="C187" s="80">
        <f>IFERROR(__xludf.DUMMYFUNCTION("""COMPUTED_VALUE"""),0.889)</f>
        <v>0.889</v>
      </c>
      <c r="D187" s="81">
        <f>IFERROR(__xludf.DUMMYFUNCTION("""COMPUTED_VALUE"""),0.5752104159384832)</f>
        <v>0.5752104159</v>
      </c>
      <c r="E187" s="82">
        <f>IFERROR(__xludf.DUMMYFUNCTION("""COMPUTED_VALUE"""),9452.070000000002)</f>
        <v>9452.07</v>
      </c>
      <c r="F187" s="83">
        <f>IFERROR(__xludf.DUMMYFUNCTION("""COMPUTED_VALUE"""),14854.39)</f>
        <v>14854.39</v>
      </c>
      <c r="G187" s="66">
        <f>IFERROR(__xludf.DUMMYFUNCTION("""COMPUTED_VALUE"""),1.0)</f>
        <v>1</v>
      </c>
      <c r="H187" s="67">
        <f>IFERROR(__xludf.DUMMYFUNCTION("""COMPUTED_VALUE"""),0.78125)</f>
        <v>0.78125</v>
      </c>
    </row>
    <row r="188">
      <c r="A188" s="61" t="str">
        <f>IFERROR(__xludf.DUMMYFUNCTION("""COMPUTED_VALUE"""),"Karen")</f>
        <v>Karen</v>
      </c>
      <c r="B188" s="61" t="str">
        <f>IFERROR(__xludf.DUMMYFUNCTION("""COMPUTED_VALUE"""),"Hilltop Townhomes ")</f>
        <v>Hilltop Townhomes </v>
      </c>
      <c r="C188" s="84">
        <f>IFERROR(__xludf.DUMMYFUNCTION("""COMPUTED_VALUE"""),0.745)</f>
        <v>0.745</v>
      </c>
      <c r="D188" s="81">
        <f>IFERROR(__xludf.DUMMYFUNCTION("""COMPUTED_VALUE"""),0.6984557666430998)</f>
        <v>0.6984557666</v>
      </c>
      <c r="E188" s="85">
        <f>IFERROR(__xludf.DUMMYFUNCTION("""COMPUTED_VALUE"""),10451.36)</f>
        <v>10451.36</v>
      </c>
      <c r="F188" s="86">
        <f>IFERROR(__xludf.DUMMYFUNCTION("""COMPUTED_VALUE"""),15992.26)</f>
        <v>15992.26</v>
      </c>
      <c r="G188" s="66">
        <f>IFERROR(__xludf.DUMMYFUNCTION("""COMPUTED_VALUE"""),1.0)</f>
        <v>1</v>
      </c>
      <c r="H188" s="67">
        <f>IFERROR(__xludf.DUMMYFUNCTION("""COMPUTED_VALUE"""),0.8947368421052632)</f>
        <v>0.8947368421</v>
      </c>
    </row>
    <row r="189">
      <c r="A189" s="68" t="str">
        <f>IFERROR(__xludf.DUMMYFUNCTION("""COMPUTED_VALUE"""),"Karen")</f>
        <v>Karen</v>
      </c>
      <c r="B189" s="68" t="str">
        <f>IFERROR(__xludf.DUMMYFUNCTION("""COMPUTED_VALUE"""),"Maple Manor Apartments                                                                                                                                             ")</f>
        <v>Maple Manor Apartments                                                                                                                                             </v>
      </c>
      <c r="C189" s="87">
        <f>IFERROR(__xludf.DUMMYFUNCTION("""COMPUTED_VALUE"""),0.925)</f>
        <v>0.925</v>
      </c>
      <c r="D189" s="88">
        <f>IFERROR(__xludf.DUMMYFUNCTION("""COMPUTED_VALUE"""),0.7131941840045243)</f>
        <v>0.713194184</v>
      </c>
      <c r="E189" s="89">
        <f>IFERROR(__xludf.DUMMYFUNCTION("""COMPUTED_VALUE"""),9056.6)</f>
        <v>9056.6</v>
      </c>
      <c r="F189" s="90">
        <f>IFERROR(__xludf.DUMMYFUNCTION("""COMPUTED_VALUE"""),10337.03)</f>
        <v>10337.03</v>
      </c>
      <c r="G189" s="91">
        <f>IFERROR(__xludf.DUMMYFUNCTION("""COMPUTED_VALUE"""),0.0)</f>
        <v>0</v>
      </c>
      <c r="H189" s="92">
        <f>IFERROR(__xludf.DUMMYFUNCTION("""COMPUTED_VALUE"""),0.7567567567567568)</f>
        <v>0.7567567568</v>
      </c>
    </row>
    <row r="190">
      <c r="A190" s="61" t="str">
        <f>IFERROR(__xludf.DUMMYFUNCTION("""COMPUTED_VALUE"""),"Sam")</f>
        <v>Sam</v>
      </c>
      <c r="B190" s="61" t="str">
        <f>IFERROR(__xludf.DUMMYFUNCTION("""COMPUTED_VALUE"""),"Normandy Apartments")</f>
        <v>Normandy Apartments</v>
      </c>
      <c r="C190" s="93">
        <f>IFERROR(__xludf.DUMMYFUNCTION("""COMPUTED_VALUE"""),1.0)</f>
        <v>1</v>
      </c>
      <c r="D190" s="94">
        <f>IFERROR(__xludf.DUMMYFUNCTION("""COMPUTED_VALUE"""),0.7779293547927646)</f>
        <v>0.7779293548</v>
      </c>
      <c r="E190" s="95">
        <f>IFERROR(__xludf.DUMMYFUNCTION("""COMPUTED_VALUE"""),3619.52)</f>
        <v>3619.52</v>
      </c>
      <c r="F190" s="96">
        <f>IFERROR(__xludf.DUMMYFUNCTION("""COMPUTED_VALUE"""),4176.27)</f>
        <v>4176.27</v>
      </c>
      <c r="G190" s="66">
        <f>IFERROR(__xludf.DUMMYFUNCTION("""COMPUTED_VALUE"""),0.0)</f>
        <v>0</v>
      </c>
      <c r="H190" s="67">
        <f>IFERROR(__xludf.DUMMYFUNCTION("""COMPUTED_VALUE"""),0.6818181818181818)</f>
        <v>0.6818181818</v>
      </c>
    </row>
    <row r="191">
      <c r="A191" s="68" t="str">
        <f>IFERROR(__xludf.DUMMYFUNCTION("""COMPUTED_VALUE"""),"Karen")</f>
        <v>Karen</v>
      </c>
      <c r="B191" s="68" t="str">
        <f>IFERROR(__xludf.DUMMYFUNCTION("""COMPUTED_VALUE"""),"Oakwood Gardens ")</f>
        <v>Oakwood Gardens </v>
      </c>
      <c r="C191" s="97">
        <f>IFERROR(__xludf.DUMMYFUNCTION("""COMPUTED_VALUE"""),0.86)</f>
        <v>0.86</v>
      </c>
      <c r="D191" s="98">
        <f>IFERROR(__xludf.DUMMYFUNCTION("""COMPUTED_VALUE"""),0.9570676778282124)</f>
        <v>0.9570676778</v>
      </c>
      <c r="E191" s="99">
        <f>IFERROR(__xludf.DUMMYFUNCTION("""COMPUTED_VALUE"""),1422.4099999999996)</f>
        <v>1422.41</v>
      </c>
      <c r="F191" s="100">
        <f>IFERROR(__xludf.DUMMYFUNCTION("""COMPUTED_VALUE"""),2903.82)</f>
        <v>2903.82</v>
      </c>
      <c r="G191" s="66">
        <f>IFERROR(__xludf.DUMMYFUNCTION("""COMPUTED_VALUE"""),0.0)</f>
        <v>0</v>
      </c>
      <c r="H191" s="67">
        <f>IFERROR(__xludf.DUMMYFUNCTION("""COMPUTED_VALUE"""),0.6976744186046512)</f>
        <v>0.6976744186</v>
      </c>
    </row>
    <row r="192">
      <c r="A192" s="101" t="str">
        <f>IFERROR(__xludf.DUMMYFUNCTION("""COMPUTED_VALUE"""),"Sarah")</f>
        <v>Sarah</v>
      </c>
      <c r="B192" s="61" t="str">
        <f>IFERROR(__xludf.DUMMYFUNCTION("""COMPUTED_VALUE"""),"Pioneer Apartments ")</f>
        <v>Pioneer Apartments </v>
      </c>
      <c r="C192" s="62">
        <f>IFERROR(__xludf.DUMMYFUNCTION("""COMPUTED_VALUE"""),1.0)</f>
        <v>1</v>
      </c>
      <c r="D192" s="102">
        <f>IFERROR(__xludf.DUMMYFUNCTION("""COMPUTED_VALUE"""),0.7315476789389436)</f>
        <v>0.7315476789</v>
      </c>
      <c r="E192" s="103">
        <f>IFERROR(__xludf.DUMMYFUNCTION("""COMPUTED_VALUE"""),4987.330000000001)</f>
        <v>4987.33</v>
      </c>
      <c r="F192" s="104">
        <f>IFERROR(__xludf.DUMMYFUNCTION("""COMPUTED_VALUE"""),7283.76)</f>
        <v>7283.76</v>
      </c>
      <c r="G192" s="66">
        <f>IFERROR(__xludf.DUMMYFUNCTION("""COMPUTED_VALUE"""),1.0)</f>
        <v>1</v>
      </c>
      <c r="H192" s="67">
        <f>IFERROR(__xludf.DUMMYFUNCTION("""COMPUTED_VALUE"""),0.8666666666666667)</f>
        <v>0.8666666667</v>
      </c>
    </row>
    <row r="193">
      <c r="A193" s="50"/>
      <c r="B193" s="51"/>
      <c r="C193" s="52">
        <f>IFERROR(__xludf.DUMMYFUNCTION("""COMPUTED_VALUE"""),0.8758022813688213)</f>
        <v>0.8758022814</v>
      </c>
      <c r="D193" s="53">
        <f>IFERROR(__xludf.DUMMYFUNCTION("""COMPUTED_VALUE"""),0.7631543056148643)</f>
        <v>0.7631543056</v>
      </c>
      <c r="E193" s="54">
        <f>IFERROR(__xludf.DUMMYFUNCTION("""COMPUTED_VALUE"""),40244.25)</f>
        <v>40244.25</v>
      </c>
      <c r="F193" s="54">
        <f>IFERROR(__xludf.DUMMYFUNCTION("""COMPUTED_VALUE"""),58897.740000000005)</f>
        <v>58897.74</v>
      </c>
      <c r="G193" s="55">
        <f>IFERROR(__xludf.DUMMYFUNCTION("""COMPUTED_VALUE"""),5.0)</f>
        <v>5</v>
      </c>
      <c r="H193" s="56">
        <f>IFERROR(__xludf.DUMMYFUNCTION("""COMPUTED_VALUE"""),0.7880184331797235)</f>
        <v>0.7880184332</v>
      </c>
    </row>
    <row r="194">
      <c r="A194" s="121">
        <v>46041.0</v>
      </c>
      <c r="B194" s="10"/>
      <c r="C194" s="11"/>
      <c r="D194" s="11"/>
      <c r="E194" s="12"/>
      <c r="F194" s="13"/>
      <c r="G194" s="11"/>
      <c r="H194" s="14"/>
    </row>
    <row r="195">
      <c r="A195" s="35" t="str">
        <f>IFERROR(__xludf.DUMMYFUNCTION("IFERROR(
  IMPORTRANGE(TRIM($A$1), ""'"" &amp; TRIM(A194) &amp; ""'!A282:h296""),
  """"
)"),"Sarah")</f>
        <v>Sarah</v>
      </c>
      <c r="B195" s="36"/>
      <c r="C195" s="105">
        <f>IFERROR(__xludf.DUMMYFUNCTION("""COMPUTED_VALUE"""),0.9184081632653062)</f>
        <v>0.9184081633</v>
      </c>
      <c r="D195" s="106">
        <f>IFERROR(__xludf.DUMMYFUNCTION("""COMPUTED_VALUE"""),0.8902667674427447)</f>
        <v>0.8902667674</v>
      </c>
      <c r="E195" s="107">
        <f>IFERROR(__xludf.DUMMYFUNCTION("""COMPUTED_VALUE"""),2290.59)</f>
        <v>2290.59</v>
      </c>
      <c r="F195" s="108">
        <f>IFERROR(__xludf.DUMMYFUNCTION("""COMPUTED_VALUE"""),6098.84)</f>
        <v>6098.84</v>
      </c>
      <c r="G195" s="109">
        <f>IFERROR(__xludf.DUMMYFUNCTION("""COMPUTED_VALUE"""),3.0)</f>
        <v>3</v>
      </c>
      <c r="H195" s="110">
        <f>IFERROR(__xludf.DUMMYFUNCTION("""COMPUTED_VALUE"""),0.8826530612244898)</f>
        <v>0.8826530612</v>
      </c>
    </row>
    <row r="196">
      <c r="A196" s="26" t="str">
        <f>IFERROR(__xludf.DUMMYFUNCTION("""COMPUTED_VALUE"""),"Karen")</f>
        <v>Karen</v>
      </c>
      <c r="B196" s="27"/>
      <c r="C196" s="111">
        <f>IFERROR(__xludf.DUMMYFUNCTION("""COMPUTED_VALUE"""),0.8644170854271357)</f>
        <v>0.8644170854</v>
      </c>
      <c r="D196" s="112">
        <f>IFERROR(__xludf.DUMMYFUNCTION("""COMPUTED_VALUE"""),0.8487602933882015)</f>
        <v>0.8487602934</v>
      </c>
      <c r="E196" s="113">
        <f>IFERROR(__xludf.DUMMYFUNCTION("""COMPUTED_VALUE"""),22398.61)</f>
        <v>22398.61</v>
      </c>
      <c r="F196" s="114">
        <f>IFERROR(__xludf.DUMMYFUNCTION("""COMPUTED_VALUE"""),35232.719999999994)</f>
        <v>35232.72</v>
      </c>
      <c r="G196" s="109">
        <f>IFERROR(__xludf.DUMMYFUNCTION("""COMPUTED_VALUE"""),2.0)</f>
        <v>2</v>
      </c>
      <c r="H196" s="115">
        <f>IFERROR(__xludf.DUMMYFUNCTION("""COMPUTED_VALUE"""),0.7895918932351094)</f>
        <v>0.7895918932</v>
      </c>
    </row>
    <row r="197">
      <c r="A197" s="35" t="str">
        <f>IFERROR(__xludf.DUMMYFUNCTION("""COMPUTED_VALUE"""),"Sam")</f>
        <v>Sam</v>
      </c>
      <c r="B197" s="36"/>
      <c r="C197" s="116">
        <f>IFERROR(__xludf.DUMMYFUNCTION("""COMPUTED_VALUE"""),0.0)</f>
        <v>0</v>
      </c>
      <c r="D197" s="117">
        <f>IFERROR(__xludf.DUMMYFUNCTION("""COMPUTED_VALUE"""),0.0)</f>
        <v>0</v>
      </c>
      <c r="E197" s="118">
        <f>IFERROR(__xludf.DUMMYFUNCTION("""COMPUTED_VALUE"""),0.0)</f>
        <v>0</v>
      </c>
      <c r="F197" s="118">
        <f>IFERROR(__xludf.DUMMYFUNCTION("""COMPUTED_VALUE"""),0.0)</f>
        <v>0</v>
      </c>
      <c r="G197" s="119">
        <f>IFERROR(__xludf.DUMMYFUNCTION("""COMPUTED_VALUE"""),0.0)</f>
        <v>0</v>
      </c>
      <c r="H197" s="120">
        <f>IFERROR(__xludf.DUMMYFUNCTION("""COMPUTED_VALUE"""),0.0)</f>
        <v>0</v>
      </c>
    </row>
    <row r="198">
      <c r="A198" s="61" t="str">
        <f>IFERROR(__xludf.DUMMYFUNCTION("""COMPUTED_VALUE"""),"Sarah")</f>
        <v>Sarah</v>
      </c>
      <c r="B198" s="61" t="str">
        <f>IFERROR(__xludf.DUMMYFUNCTION("""COMPUTED_VALUE"""),"1511 Sylvan Lane                                                                                                                                                ")</f>
        <v>1511 Sylvan Lane                                                                                                                                                </v>
      </c>
      <c r="C198" s="62">
        <f>IFERROR(__xludf.DUMMYFUNCTION("""COMPUTED_VALUE"""),0.75)</f>
        <v>0.75</v>
      </c>
      <c r="D198" s="63">
        <f>IFERROR(__xludf.DUMMYFUNCTION("""COMPUTED_VALUE"""),0.8623931623931624)</f>
        <v>0.8623931624</v>
      </c>
      <c r="E198" s="64">
        <f>IFERROR(__xludf.DUMMYFUNCTION("""COMPUTED_VALUE"""),402.5)</f>
        <v>402.5</v>
      </c>
      <c r="F198" s="65">
        <f>IFERROR(__xludf.DUMMYFUNCTION("""COMPUTED_VALUE"""),402.5)</f>
        <v>402.5</v>
      </c>
      <c r="G198" s="66">
        <f>IFERROR(__xludf.DUMMYFUNCTION("""COMPUTED_VALUE"""),0.0)</f>
        <v>0</v>
      </c>
      <c r="H198" s="67">
        <f>IFERROR(__xludf.DUMMYFUNCTION("""COMPUTED_VALUE"""),1.0)</f>
        <v>1</v>
      </c>
    </row>
    <row r="199">
      <c r="A199" s="68" t="str">
        <f>IFERROR(__xludf.DUMMYFUNCTION("""COMPUTED_VALUE"""),"Sarah")</f>
        <v>Sarah</v>
      </c>
      <c r="B199" s="68" t="str">
        <f>IFERROR(__xludf.DUMMYFUNCTION("""COMPUTED_VALUE"""),"3909 North Oakland Gravel Road                                                                                                                                                    ")</f>
        <v>3909 North Oakland Gravel Road                                                                                                                                                    </v>
      </c>
      <c r="C199" s="69">
        <f>IFERROR(__xludf.DUMMYFUNCTION("""COMPUTED_VALUE"""),0.667)</f>
        <v>0.667</v>
      </c>
      <c r="D199" s="70">
        <f>IFERROR(__xludf.DUMMYFUNCTION("""COMPUTED_VALUE"""),1.0)</f>
        <v>1</v>
      </c>
      <c r="E199" s="64">
        <f>IFERROR(__xludf.DUMMYFUNCTION("""COMPUTED_VALUE"""),0.0)</f>
        <v>0</v>
      </c>
      <c r="F199" s="71">
        <f>IFERROR(__xludf.DUMMYFUNCTION("""COMPUTED_VALUE"""),0.0)</f>
        <v>0</v>
      </c>
      <c r="G199" s="66">
        <f>IFERROR(__xludf.DUMMYFUNCTION("""COMPUTED_VALUE"""),0.0)</f>
        <v>0</v>
      </c>
      <c r="H199" s="67">
        <f>IFERROR(__xludf.DUMMYFUNCTION("""COMPUTED_VALUE"""),0.75)</f>
        <v>0.75</v>
      </c>
    </row>
    <row r="200">
      <c r="A200" s="61" t="str">
        <f>IFERROR(__xludf.DUMMYFUNCTION("""COMPUTED_VALUE"""),"Sarah")</f>
        <v>Sarah</v>
      </c>
      <c r="B200" s="61" t="str">
        <f>IFERROR(__xludf.DUMMYFUNCTION("""COMPUTED_VALUE"""),"407 Pecan Street                                                                                                                                                  ")</f>
        <v>407 Pecan Street                                                                                                                                                  </v>
      </c>
      <c r="C200" s="62">
        <f>IFERROR(__xludf.DUMMYFUNCTION("""COMPUTED_VALUE"""),0.8)</f>
        <v>0.8</v>
      </c>
      <c r="D200" s="72">
        <f>IFERROR(__xludf.DUMMYFUNCTION("""COMPUTED_VALUE"""),0.7521367521367521)</f>
        <v>0.7521367521</v>
      </c>
      <c r="E200" s="73">
        <f>IFERROR(__xludf.DUMMYFUNCTION("""COMPUTED_VALUE"""),725.0)</f>
        <v>725</v>
      </c>
      <c r="F200" s="74">
        <f>IFERROR(__xludf.DUMMYFUNCTION("""COMPUTED_VALUE"""),2890.25)</f>
        <v>2890.25</v>
      </c>
      <c r="G200" s="66">
        <f>IFERROR(__xludf.DUMMYFUNCTION("""COMPUTED_VALUE"""),1.0)</f>
        <v>1</v>
      </c>
      <c r="H200" s="67">
        <f>IFERROR(__xludf.DUMMYFUNCTION("""COMPUTED_VALUE"""),0.75)</f>
        <v>0.75</v>
      </c>
    </row>
    <row r="201">
      <c r="A201" s="68" t="str">
        <f>IFERROR(__xludf.DUMMYFUNCTION("""COMPUTED_VALUE"""),"Sarah")</f>
        <v>Sarah</v>
      </c>
      <c r="B201" s="68" t="str">
        <f>IFERROR(__xludf.DUMMYFUNCTION("""COMPUTED_VALUE"""),"801-803 Washington Avenue                                                                                                                                                      ")</f>
        <v>801-803 Washington Avenue                                                                                                                                                      </v>
      </c>
      <c r="C201" s="62">
        <f>IFERROR(__xludf.DUMMYFUNCTION("""COMPUTED_VALUE"""),1.0)</f>
        <v>1</v>
      </c>
      <c r="D201" s="75">
        <f>IFERROR(__xludf.DUMMYFUNCTION("""COMPUTED_VALUE"""),0.7750266666666666)</f>
        <v>0.7750266667</v>
      </c>
      <c r="E201" s="64">
        <f>IFERROR(__xludf.DUMMYFUNCTION("""COMPUTED_VALUE"""),337.46)</f>
        <v>337.46</v>
      </c>
      <c r="F201" s="76">
        <f>IFERROR(__xludf.DUMMYFUNCTION("""COMPUTED_VALUE"""),337.46)</f>
        <v>337.46</v>
      </c>
      <c r="G201" s="66">
        <f>IFERROR(__xludf.DUMMYFUNCTION("""COMPUTED_VALUE"""),0.0)</f>
        <v>0</v>
      </c>
      <c r="H201" s="67">
        <f>IFERROR(__xludf.DUMMYFUNCTION("""COMPUTED_VALUE"""),1.0)</f>
        <v>1</v>
      </c>
    </row>
    <row r="202">
      <c r="A202" s="61" t="str">
        <f>IFERROR(__xludf.DUMMYFUNCTION("""COMPUTED_VALUE"""),"Sarah")</f>
        <v>Sarah</v>
      </c>
      <c r="B202" s="61" t="str">
        <f>IFERROR(__xludf.DUMMYFUNCTION("""COMPUTED_VALUE"""),"811 South Fairview Road                                                                                                                                                    ")</f>
        <v>811 South Fairview Road                                                                                                                                                    </v>
      </c>
      <c r="C202" s="62">
        <f>IFERROR(__xludf.DUMMYFUNCTION("""COMPUTED_VALUE"""),1.0)</f>
        <v>1</v>
      </c>
      <c r="D202" s="77">
        <f>IFERROR(__xludf.DUMMYFUNCTION("""COMPUTED_VALUE"""),1.0)</f>
        <v>1</v>
      </c>
      <c r="E202" s="78">
        <f>IFERROR(__xludf.DUMMYFUNCTION("""COMPUTED_VALUE"""),0.0)</f>
        <v>0</v>
      </c>
      <c r="F202" s="76">
        <f>IFERROR(__xludf.DUMMYFUNCTION("""COMPUTED_VALUE"""),0.0)</f>
        <v>0</v>
      </c>
      <c r="G202" s="66">
        <f>IFERROR(__xludf.DUMMYFUNCTION("""COMPUTED_VALUE"""),1.0)</f>
        <v>1</v>
      </c>
      <c r="H202" s="67">
        <f>IFERROR(__xludf.DUMMYFUNCTION("""COMPUTED_VALUE"""),1.0)</f>
        <v>1</v>
      </c>
    </row>
    <row r="203">
      <c r="A203" s="79" t="str">
        <f>IFERROR(__xludf.DUMMYFUNCTION("""COMPUTED_VALUE"""),"Karen")</f>
        <v>Karen</v>
      </c>
      <c r="B203" s="68" t="str">
        <f>IFERROR(__xludf.DUMMYFUNCTION("""COMPUTED_VALUE"""),"Glen Oaks ")</f>
        <v>Glen Oaks </v>
      </c>
      <c r="C203" s="80">
        <f>IFERROR(__xludf.DUMMYFUNCTION("""COMPUTED_VALUE"""),0.889)</f>
        <v>0.889</v>
      </c>
      <c r="D203" s="81">
        <f>IFERROR(__xludf.DUMMYFUNCTION("""COMPUTED_VALUE"""),0.7037344584122612)</f>
        <v>0.7037344584</v>
      </c>
      <c r="E203" s="82">
        <f>IFERROR(__xludf.DUMMYFUNCTION("""COMPUTED_VALUE"""),8602.07)</f>
        <v>8602.07</v>
      </c>
      <c r="F203" s="83">
        <f>IFERROR(__xludf.DUMMYFUNCTION("""COMPUTED_VALUE"""),14541.89)</f>
        <v>14541.89</v>
      </c>
      <c r="G203" s="66">
        <f>IFERROR(__xludf.DUMMYFUNCTION("""COMPUTED_VALUE"""),1.0)</f>
        <v>1</v>
      </c>
      <c r="H203" s="67">
        <f>IFERROR(__xludf.DUMMYFUNCTION("""COMPUTED_VALUE"""),0.84375)</f>
        <v>0.84375</v>
      </c>
    </row>
    <row r="204">
      <c r="A204" s="61" t="str">
        <f>IFERROR(__xludf.DUMMYFUNCTION("""COMPUTED_VALUE"""),"Karen")</f>
        <v>Karen</v>
      </c>
      <c r="B204" s="61" t="str">
        <f>IFERROR(__xludf.DUMMYFUNCTION("""COMPUTED_VALUE"""),"Hilltop Townhomes ")</f>
        <v>Hilltop Townhomes </v>
      </c>
      <c r="C204" s="84">
        <f>IFERROR(__xludf.DUMMYFUNCTION("""COMPUTED_VALUE"""),0.765)</f>
        <v>0.765</v>
      </c>
      <c r="D204" s="81">
        <f>IFERROR(__xludf.DUMMYFUNCTION("""COMPUTED_VALUE"""),0.8275122260258746)</f>
        <v>0.827512226</v>
      </c>
      <c r="E204" s="85">
        <f>IFERROR(__xludf.DUMMYFUNCTION("""COMPUTED_VALUE"""),5336.860000000001)</f>
        <v>5336.86</v>
      </c>
      <c r="F204" s="86">
        <f>IFERROR(__xludf.DUMMYFUNCTION("""COMPUTED_VALUE"""),10182.21)</f>
        <v>10182.21</v>
      </c>
      <c r="G204" s="66">
        <f>IFERROR(__xludf.DUMMYFUNCTION("""COMPUTED_VALUE"""),1.0)</f>
        <v>1</v>
      </c>
      <c r="H204" s="67">
        <f>IFERROR(__xludf.DUMMYFUNCTION("""COMPUTED_VALUE"""),0.8974358974358975)</f>
        <v>0.8974358974</v>
      </c>
    </row>
    <row r="205">
      <c r="A205" s="68" t="str">
        <f>IFERROR(__xludf.DUMMYFUNCTION("""COMPUTED_VALUE"""),"Karen")</f>
        <v>Karen</v>
      </c>
      <c r="B205" s="68" t="str">
        <f>IFERROR(__xludf.DUMMYFUNCTION("""COMPUTED_VALUE"""),"Maple Manor Apartments                                                                                                                                             ")</f>
        <v>Maple Manor Apartments                                                                                                                                             </v>
      </c>
      <c r="C205" s="87">
        <f>IFERROR(__xludf.DUMMYFUNCTION("""COMPUTED_VALUE"""),0.925)</f>
        <v>0.925</v>
      </c>
      <c r="D205" s="88">
        <f>IFERROR(__xludf.DUMMYFUNCTION("""COMPUTED_VALUE"""),0.8277315625966225)</f>
        <v>0.8277315626</v>
      </c>
      <c r="E205" s="89">
        <f>IFERROR(__xludf.DUMMYFUNCTION("""COMPUTED_VALUE"""),5850.150000000001)</f>
        <v>5850.15</v>
      </c>
      <c r="F205" s="90">
        <f>IFERROR(__xludf.DUMMYFUNCTION("""COMPUTED_VALUE"""),7039.83)</f>
        <v>7039.83</v>
      </c>
      <c r="G205" s="91">
        <f>IFERROR(__xludf.DUMMYFUNCTION("""COMPUTED_VALUE"""),0.0)</f>
        <v>0</v>
      </c>
      <c r="H205" s="92">
        <f>IFERROR(__xludf.DUMMYFUNCTION("""COMPUTED_VALUE"""),0.7567567567567568)</f>
        <v>0.7567567568</v>
      </c>
    </row>
    <row r="206">
      <c r="A206" s="61" t="str">
        <f>IFERROR(__xludf.DUMMYFUNCTION("""COMPUTED_VALUE"""),"Karen")</f>
        <v>Karen</v>
      </c>
      <c r="B206" s="61" t="str">
        <f>IFERROR(__xludf.DUMMYFUNCTION("""COMPUTED_VALUE"""),"Normandy Apartments")</f>
        <v>Normandy Apartments</v>
      </c>
      <c r="C206" s="93">
        <f>IFERROR(__xludf.DUMMYFUNCTION("""COMPUTED_VALUE"""),1.0)</f>
        <v>1</v>
      </c>
      <c r="D206" s="94">
        <f>IFERROR(__xludf.DUMMYFUNCTION("""COMPUTED_VALUE"""),0.8120270616721265)</f>
        <v>0.8120270617</v>
      </c>
      <c r="E206" s="95">
        <f>IFERROR(__xludf.DUMMYFUNCTION("""COMPUTED_VALUE"""),2999.52)</f>
        <v>2999.52</v>
      </c>
      <c r="F206" s="96">
        <f>IFERROR(__xludf.DUMMYFUNCTION("""COMPUTED_VALUE"""),3599.27)</f>
        <v>3599.27</v>
      </c>
      <c r="G206" s="66">
        <f>IFERROR(__xludf.DUMMYFUNCTION("""COMPUTED_VALUE"""),0.0)</f>
        <v>0</v>
      </c>
      <c r="H206" s="67">
        <f>IFERROR(__xludf.DUMMYFUNCTION("""COMPUTED_VALUE"""),0.6818181818181818)</f>
        <v>0.6818181818</v>
      </c>
    </row>
    <row r="207">
      <c r="A207" s="68" t="str">
        <f>IFERROR(__xludf.DUMMYFUNCTION("""COMPUTED_VALUE"""),"Karen")</f>
        <v>Karen</v>
      </c>
      <c r="B207" s="68" t="str">
        <f>IFERROR(__xludf.DUMMYFUNCTION("""COMPUTED_VALUE"""),"Oakwood Gardens ")</f>
        <v>Oakwood Gardens </v>
      </c>
      <c r="C207" s="97">
        <f>IFERROR(__xludf.DUMMYFUNCTION("""COMPUTED_VALUE"""),0.84)</f>
        <v>0.84</v>
      </c>
      <c r="D207" s="98">
        <f>IFERROR(__xludf.DUMMYFUNCTION("""COMPUTED_VALUE"""),1.0078375298687883)</f>
        <v>1.00783753</v>
      </c>
      <c r="E207" s="99">
        <f>IFERROR(__xludf.DUMMYFUNCTION("""COMPUTED_VALUE"""),-389.9900000000001)</f>
        <v>-389.99</v>
      </c>
      <c r="F207" s="100">
        <f>IFERROR(__xludf.DUMMYFUNCTION("""COMPUTED_VALUE"""),-130.48)</f>
        <v>-130.48</v>
      </c>
      <c r="G207" s="66">
        <f>IFERROR(__xludf.DUMMYFUNCTION("""COMPUTED_VALUE"""),0.0)</f>
        <v>0</v>
      </c>
      <c r="H207" s="67">
        <f>IFERROR(__xludf.DUMMYFUNCTION("""COMPUTED_VALUE"""),0.7142857142857143)</f>
        <v>0.7142857143</v>
      </c>
    </row>
    <row r="208">
      <c r="A208" s="101" t="str">
        <f>IFERROR(__xludf.DUMMYFUNCTION("""COMPUTED_VALUE"""),"Sarah")</f>
        <v>Sarah</v>
      </c>
      <c r="B208" s="61" t="str">
        <f>IFERROR(__xludf.DUMMYFUNCTION("""COMPUTED_VALUE"""),"Pioneer Apartments ")</f>
        <v>Pioneer Apartments </v>
      </c>
      <c r="C208" s="62">
        <f>IFERROR(__xludf.DUMMYFUNCTION("""COMPUTED_VALUE"""),1.0)</f>
        <v>1</v>
      </c>
      <c r="D208" s="102">
        <f>IFERROR(__xludf.DUMMYFUNCTION("""COMPUTED_VALUE"""),0.8954253953701581)</f>
        <v>0.8954253954</v>
      </c>
      <c r="E208" s="103">
        <f>IFERROR(__xludf.DUMMYFUNCTION("""COMPUTED_VALUE"""),825.63)</f>
        <v>825.63</v>
      </c>
      <c r="F208" s="104">
        <f>IFERROR(__xludf.DUMMYFUNCTION("""COMPUTED_VALUE"""),2468.63)</f>
        <v>2468.63</v>
      </c>
      <c r="G208" s="66">
        <f>IFERROR(__xludf.DUMMYFUNCTION("""COMPUTED_VALUE"""),1.0)</f>
        <v>1</v>
      </c>
      <c r="H208" s="67">
        <f>IFERROR(__xludf.DUMMYFUNCTION("""COMPUTED_VALUE"""),0.9)</f>
        <v>0.9</v>
      </c>
    </row>
    <row r="209">
      <c r="A209" s="50"/>
      <c r="B209" s="51"/>
      <c r="C209" s="52">
        <f>IFERROR(__xludf.DUMMYFUNCTION("""COMPUTED_VALUE"""),0.8758783269961977)</f>
        <v>0.875878327</v>
      </c>
      <c r="D209" s="53">
        <f>IFERROR(__xludf.DUMMYFUNCTION("""COMPUTED_VALUE"""),0.8834204206444618)</f>
        <v>0.8834204206</v>
      </c>
      <c r="E209" s="54">
        <f>IFERROR(__xludf.DUMMYFUNCTION("""COMPUTED_VALUE"""),24689.2)</f>
        <v>24689.2</v>
      </c>
      <c r="F209" s="54">
        <f>IFERROR(__xludf.DUMMYFUNCTION("""COMPUTED_VALUE"""),41331.55999999999)</f>
        <v>41331.56</v>
      </c>
      <c r="G209" s="55">
        <f>IFERROR(__xludf.DUMMYFUNCTION("""COMPUTED_VALUE"""),5.0)</f>
        <v>5</v>
      </c>
      <c r="H209" s="56">
        <f>IFERROR(__xludf.DUMMYFUNCTION("""COMPUTED_VALUE"""),0.8064516129032258)</f>
        <v>0.8064516129</v>
      </c>
    </row>
    <row r="210">
      <c r="A210" s="121">
        <v>46043.0</v>
      </c>
      <c r="B210" s="10"/>
      <c r="C210" s="11"/>
      <c r="D210" s="11"/>
      <c r="E210" s="12"/>
      <c r="F210" s="13"/>
      <c r="G210" s="11"/>
      <c r="H210" s="14"/>
    </row>
    <row r="211">
      <c r="A211" s="35" t="str">
        <f>IFERROR(__xludf.DUMMYFUNCTION("IFERROR(
  IMPORTRANGE(TRIM($A$1), ""'"" &amp; TRIM(A210) &amp; ""'!A282:h296""),
  """"
)"),"Sarah")</f>
        <v>Sarah</v>
      </c>
      <c r="B211" s="36"/>
      <c r="C211" s="105">
        <f>IFERROR(__xludf.DUMMYFUNCTION("""COMPUTED_VALUE"""),0.9184081632653062)</f>
        <v>0.9184081633</v>
      </c>
      <c r="D211" s="106">
        <f>IFERROR(__xludf.DUMMYFUNCTION("""COMPUTED_VALUE"""),0.932890497512921)</f>
        <v>0.9328904975</v>
      </c>
      <c r="E211" s="107">
        <f>IFERROR(__xludf.DUMMYFUNCTION("""COMPUTED_VALUE"""),271.6299999999999)</f>
        <v>271.63</v>
      </c>
      <c r="F211" s="108">
        <f>IFERROR(__xludf.DUMMYFUNCTION("""COMPUTED_VALUE"""),3539.88)</f>
        <v>3539.88</v>
      </c>
      <c r="G211" s="109">
        <f>IFERROR(__xludf.DUMMYFUNCTION("""COMPUTED_VALUE"""),3.0)</f>
        <v>3</v>
      </c>
      <c r="H211" s="110">
        <f>IFERROR(__xludf.DUMMYFUNCTION("""COMPUTED_VALUE"""),0.8826530612244898)</f>
        <v>0.8826530612</v>
      </c>
    </row>
    <row r="212">
      <c r="A212" s="26" t="str">
        <f>IFERROR(__xludf.DUMMYFUNCTION("""COMPUTED_VALUE"""),"Karen")</f>
        <v>Karen</v>
      </c>
      <c r="B212" s="27"/>
      <c r="C212" s="111">
        <f>IFERROR(__xludf.DUMMYFUNCTION("""COMPUTED_VALUE"""),0.8644170854271357)</f>
        <v>0.8644170854</v>
      </c>
      <c r="D212" s="112">
        <f>IFERROR(__xludf.DUMMYFUNCTION("""COMPUTED_VALUE"""),0.8681155230845132)</f>
        <v>0.8681155231</v>
      </c>
      <c r="E212" s="113">
        <f>IFERROR(__xludf.DUMMYFUNCTION("""COMPUTED_VALUE"""),19495.51)</f>
        <v>19495.51</v>
      </c>
      <c r="F212" s="114">
        <f>IFERROR(__xludf.DUMMYFUNCTION("""COMPUTED_VALUE"""),31898.22)</f>
        <v>31898.22</v>
      </c>
      <c r="G212" s="109">
        <f>IFERROR(__xludf.DUMMYFUNCTION("""COMPUTED_VALUE"""),2.0)</f>
        <v>2</v>
      </c>
      <c r="H212" s="115">
        <f>IFERROR(__xludf.DUMMYFUNCTION("""COMPUTED_VALUE"""),0.7895918932351094)</f>
        <v>0.7895918932</v>
      </c>
    </row>
    <row r="213">
      <c r="A213" s="35" t="str">
        <f>IFERROR(__xludf.DUMMYFUNCTION("""COMPUTED_VALUE"""),"Sam")</f>
        <v>Sam</v>
      </c>
      <c r="B213" s="36"/>
      <c r="C213" s="116">
        <f>IFERROR(__xludf.DUMMYFUNCTION("""COMPUTED_VALUE"""),0.0)</f>
        <v>0</v>
      </c>
      <c r="D213" s="117">
        <f>IFERROR(__xludf.DUMMYFUNCTION("""COMPUTED_VALUE"""),0.0)</f>
        <v>0</v>
      </c>
      <c r="E213" s="118">
        <f>IFERROR(__xludf.DUMMYFUNCTION("""COMPUTED_VALUE"""),0.0)</f>
        <v>0</v>
      </c>
      <c r="F213" s="118">
        <f>IFERROR(__xludf.DUMMYFUNCTION("""COMPUTED_VALUE"""),0.0)</f>
        <v>0</v>
      </c>
      <c r="G213" s="119">
        <f>IFERROR(__xludf.DUMMYFUNCTION("""COMPUTED_VALUE"""),0.0)</f>
        <v>0</v>
      </c>
      <c r="H213" s="120">
        <f>IFERROR(__xludf.DUMMYFUNCTION("""COMPUTED_VALUE"""),0.0)</f>
        <v>0</v>
      </c>
    </row>
    <row r="214">
      <c r="A214" s="61" t="str">
        <f>IFERROR(__xludf.DUMMYFUNCTION("""COMPUTED_VALUE"""),"Sarah")</f>
        <v>Sarah</v>
      </c>
      <c r="B214" s="61" t="str">
        <f>IFERROR(__xludf.DUMMYFUNCTION("""COMPUTED_VALUE"""),"1511 Sylvan Lane                                                                                                                                                ")</f>
        <v>1511 Sylvan Lane                                                                                                                                                </v>
      </c>
      <c r="C214" s="62">
        <f>IFERROR(__xludf.DUMMYFUNCTION("""COMPUTED_VALUE"""),0.75)</f>
        <v>0.75</v>
      </c>
      <c r="D214" s="63">
        <f>IFERROR(__xludf.DUMMYFUNCTION("""COMPUTED_VALUE"""),0.9034188034188034)</f>
        <v>0.9034188034</v>
      </c>
      <c r="E214" s="64">
        <f>IFERROR(__xludf.DUMMYFUNCTION("""COMPUTED_VALUE"""),282.5)</f>
        <v>282.5</v>
      </c>
      <c r="F214" s="65">
        <f>IFERROR(__xludf.DUMMYFUNCTION("""COMPUTED_VALUE"""),282.5)</f>
        <v>282.5</v>
      </c>
      <c r="G214" s="66">
        <f>IFERROR(__xludf.DUMMYFUNCTION("""COMPUTED_VALUE"""),0.0)</f>
        <v>0</v>
      </c>
      <c r="H214" s="67">
        <f>IFERROR(__xludf.DUMMYFUNCTION("""COMPUTED_VALUE"""),1.0)</f>
        <v>1</v>
      </c>
    </row>
    <row r="215">
      <c r="A215" s="68" t="str">
        <f>IFERROR(__xludf.DUMMYFUNCTION("""COMPUTED_VALUE"""),"Sarah")</f>
        <v>Sarah</v>
      </c>
      <c r="B215" s="68" t="str">
        <f>IFERROR(__xludf.DUMMYFUNCTION("""COMPUTED_VALUE"""),"3909 North Oakland Gravel Road                                                                                                                                                    ")</f>
        <v>3909 North Oakland Gravel Road                                                                                                                                                    </v>
      </c>
      <c r="C215" s="69">
        <f>IFERROR(__xludf.DUMMYFUNCTION("""COMPUTED_VALUE"""),0.667)</f>
        <v>0.667</v>
      </c>
      <c r="D215" s="70">
        <f>IFERROR(__xludf.DUMMYFUNCTION("""COMPUTED_VALUE"""),1.0)</f>
        <v>1</v>
      </c>
      <c r="E215" s="64">
        <f>IFERROR(__xludf.DUMMYFUNCTION("""COMPUTED_VALUE"""),0.0)</f>
        <v>0</v>
      </c>
      <c r="F215" s="71">
        <f>IFERROR(__xludf.DUMMYFUNCTION("""COMPUTED_VALUE"""),0.0)</f>
        <v>0</v>
      </c>
      <c r="G215" s="66">
        <f>IFERROR(__xludf.DUMMYFUNCTION("""COMPUTED_VALUE"""),0.0)</f>
        <v>0</v>
      </c>
      <c r="H215" s="67">
        <f>IFERROR(__xludf.DUMMYFUNCTION("""COMPUTED_VALUE"""),0.75)</f>
        <v>0.75</v>
      </c>
    </row>
    <row r="216">
      <c r="A216" s="61" t="str">
        <f>IFERROR(__xludf.DUMMYFUNCTION("""COMPUTED_VALUE"""),"Sarah")</f>
        <v>Sarah</v>
      </c>
      <c r="B216" s="61" t="str">
        <f>IFERROR(__xludf.DUMMYFUNCTION("""COMPUTED_VALUE"""),"407 Pecan Street                                                                                                                                                  ")</f>
        <v>407 Pecan Street                                                                                                                                                  </v>
      </c>
      <c r="C216" s="62">
        <f>IFERROR(__xludf.DUMMYFUNCTION("""COMPUTED_VALUE"""),0.8)</f>
        <v>0.8</v>
      </c>
      <c r="D216" s="72">
        <f>IFERROR(__xludf.DUMMYFUNCTION("""COMPUTED_VALUE"""),0.7521367521367521)</f>
        <v>0.7521367521</v>
      </c>
      <c r="E216" s="73">
        <f>IFERROR(__xludf.DUMMYFUNCTION("""COMPUTED_VALUE"""),725.0)</f>
        <v>725</v>
      </c>
      <c r="F216" s="74">
        <f>IFERROR(__xludf.DUMMYFUNCTION("""COMPUTED_VALUE"""),2310.25)</f>
        <v>2310.25</v>
      </c>
      <c r="G216" s="66">
        <f>IFERROR(__xludf.DUMMYFUNCTION("""COMPUTED_VALUE"""),1.0)</f>
        <v>1</v>
      </c>
      <c r="H216" s="67">
        <f>IFERROR(__xludf.DUMMYFUNCTION("""COMPUTED_VALUE"""),0.75)</f>
        <v>0.75</v>
      </c>
    </row>
    <row r="217">
      <c r="A217" s="68" t="str">
        <f>IFERROR(__xludf.DUMMYFUNCTION("""COMPUTED_VALUE"""),"Sarah")</f>
        <v>Sarah</v>
      </c>
      <c r="B217" s="68" t="str">
        <f>IFERROR(__xludf.DUMMYFUNCTION("""COMPUTED_VALUE"""),"801-803 Washington Avenue                                                                                                                                                      ")</f>
        <v>801-803 Washington Avenue                                                                                                                                                      </v>
      </c>
      <c r="C217" s="62">
        <f>IFERROR(__xludf.DUMMYFUNCTION("""COMPUTED_VALUE"""),1.0)</f>
        <v>1</v>
      </c>
      <c r="D217" s="75">
        <f>IFERROR(__xludf.DUMMYFUNCTION("""COMPUTED_VALUE"""),0.9222533333333334)</f>
        <v>0.9222533333</v>
      </c>
      <c r="E217" s="64">
        <f>IFERROR(__xludf.DUMMYFUNCTION("""COMPUTED_VALUE"""),116.62)</f>
        <v>116.62</v>
      </c>
      <c r="F217" s="76">
        <f>IFERROR(__xludf.DUMMYFUNCTION("""COMPUTED_VALUE"""),116.62)</f>
        <v>116.62</v>
      </c>
      <c r="G217" s="66">
        <f>IFERROR(__xludf.DUMMYFUNCTION("""COMPUTED_VALUE"""),0.0)</f>
        <v>0</v>
      </c>
      <c r="H217" s="67">
        <f>IFERROR(__xludf.DUMMYFUNCTION("""COMPUTED_VALUE"""),1.0)</f>
        <v>1</v>
      </c>
    </row>
    <row r="218">
      <c r="A218" s="61" t="str">
        <f>IFERROR(__xludf.DUMMYFUNCTION("""COMPUTED_VALUE"""),"Sarah")</f>
        <v>Sarah</v>
      </c>
      <c r="B218" s="61" t="str">
        <f>IFERROR(__xludf.DUMMYFUNCTION("""COMPUTED_VALUE"""),"811 South Fairview Road                                                                                                                                                    ")</f>
        <v>811 South Fairview Road                                                                                                                                                    </v>
      </c>
      <c r="C218" s="62">
        <f>IFERROR(__xludf.DUMMYFUNCTION("""COMPUTED_VALUE"""),1.0)</f>
        <v>1</v>
      </c>
      <c r="D218" s="77">
        <f>IFERROR(__xludf.DUMMYFUNCTION("""COMPUTED_VALUE"""),1.5)</f>
        <v>1.5</v>
      </c>
      <c r="E218" s="78">
        <f>IFERROR(__xludf.DUMMYFUNCTION("""COMPUTED_VALUE"""),-1200.0)</f>
        <v>-1200</v>
      </c>
      <c r="F218" s="76">
        <f>IFERROR(__xludf.DUMMYFUNCTION("""COMPUTED_VALUE"""),-1200.0)</f>
        <v>-1200</v>
      </c>
      <c r="G218" s="66">
        <f>IFERROR(__xludf.DUMMYFUNCTION("""COMPUTED_VALUE"""),1.0)</f>
        <v>1</v>
      </c>
      <c r="H218" s="67">
        <f>IFERROR(__xludf.DUMMYFUNCTION("""COMPUTED_VALUE"""),1.0)</f>
        <v>1</v>
      </c>
    </row>
    <row r="219">
      <c r="A219" s="79" t="str">
        <f>IFERROR(__xludf.DUMMYFUNCTION("""COMPUTED_VALUE"""),"Karen")</f>
        <v>Karen</v>
      </c>
      <c r="B219" s="68" t="str">
        <f>IFERROR(__xludf.DUMMYFUNCTION("""COMPUTED_VALUE"""),"Glen Oaks ")</f>
        <v>Glen Oaks </v>
      </c>
      <c r="C219" s="80">
        <f>IFERROR(__xludf.DUMMYFUNCTION("""COMPUTED_VALUE"""),0.889)</f>
        <v>0.889</v>
      </c>
      <c r="D219" s="81">
        <f>IFERROR(__xludf.DUMMYFUNCTION("""COMPUTED_VALUE"""),0.7605624246598933)</f>
        <v>0.7605624247</v>
      </c>
      <c r="E219" s="82">
        <f>IFERROR(__xludf.DUMMYFUNCTION("""COMPUTED_VALUE"""),6952.07)</f>
        <v>6952.07</v>
      </c>
      <c r="F219" s="83">
        <f>IFERROR(__xludf.DUMMYFUNCTION("""COMPUTED_VALUE"""),13156.89)</f>
        <v>13156.89</v>
      </c>
      <c r="G219" s="66">
        <f>IFERROR(__xludf.DUMMYFUNCTION("""COMPUTED_VALUE"""),1.0)</f>
        <v>1</v>
      </c>
      <c r="H219" s="67">
        <f>IFERROR(__xludf.DUMMYFUNCTION("""COMPUTED_VALUE"""),0.84375)</f>
        <v>0.84375</v>
      </c>
    </row>
    <row r="220">
      <c r="A220" s="61" t="str">
        <f>IFERROR(__xludf.DUMMYFUNCTION("""COMPUTED_VALUE"""),"Karen")</f>
        <v>Karen</v>
      </c>
      <c r="B220" s="61" t="str">
        <f>IFERROR(__xludf.DUMMYFUNCTION("""COMPUTED_VALUE"""),"Hilltop Townhomes ")</f>
        <v>Hilltop Townhomes </v>
      </c>
      <c r="C220" s="84">
        <f>IFERROR(__xludf.DUMMYFUNCTION("""COMPUTED_VALUE"""),0.765)</f>
        <v>0.765</v>
      </c>
      <c r="D220" s="81">
        <f>IFERROR(__xludf.DUMMYFUNCTION("""COMPUTED_VALUE"""),0.8366550704663673)</f>
        <v>0.8366550705</v>
      </c>
      <c r="E220" s="85">
        <f>IFERROR(__xludf.DUMMYFUNCTION("""COMPUTED_VALUE"""),5113.76)</f>
        <v>5113.76</v>
      </c>
      <c r="F220" s="86">
        <f>IFERROR(__xludf.DUMMYFUNCTION("""COMPUTED_VALUE"""),9582.71)</f>
        <v>9582.71</v>
      </c>
      <c r="G220" s="66">
        <f>IFERROR(__xludf.DUMMYFUNCTION("""COMPUTED_VALUE"""),1.0)</f>
        <v>1</v>
      </c>
      <c r="H220" s="67">
        <f>IFERROR(__xludf.DUMMYFUNCTION("""COMPUTED_VALUE"""),0.8974358974358975)</f>
        <v>0.8974358974</v>
      </c>
    </row>
    <row r="221">
      <c r="A221" s="68" t="str">
        <f>IFERROR(__xludf.DUMMYFUNCTION("""COMPUTED_VALUE"""),"Karen")</f>
        <v>Karen</v>
      </c>
      <c r="B221" s="68" t="str">
        <f>IFERROR(__xludf.DUMMYFUNCTION("""COMPUTED_VALUE"""),"Maple Manor Apartments                                                                                                                                             ")</f>
        <v>Maple Manor Apartments                                                                                                                                             </v>
      </c>
      <c r="C221" s="87">
        <f>IFERROR(__xludf.DUMMYFUNCTION("""COMPUTED_VALUE"""),0.925)</f>
        <v>0.925</v>
      </c>
      <c r="D221" s="88">
        <f>IFERROR(__xludf.DUMMYFUNCTION("""COMPUTED_VALUE"""),0.8518779722905226)</f>
        <v>0.8518779723</v>
      </c>
      <c r="E221" s="89">
        <f>IFERROR(__xludf.DUMMYFUNCTION("""COMPUTED_VALUE"""),5030.150000000001)</f>
        <v>5030.15</v>
      </c>
      <c r="F221" s="90">
        <f>IFERROR(__xludf.DUMMYFUNCTION("""COMPUTED_VALUE"""),6099.83)</f>
        <v>6099.83</v>
      </c>
      <c r="G221" s="91">
        <f>IFERROR(__xludf.DUMMYFUNCTION("""COMPUTED_VALUE"""),0.0)</f>
        <v>0</v>
      </c>
      <c r="H221" s="92">
        <f>IFERROR(__xludf.DUMMYFUNCTION("""COMPUTED_VALUE"""),0.7567567567567568)</f>
        <v>0.7567567568</v>
      </c>
    </row>
    <row r="222">
      <c r="A222" s="61" t="str">
        <f>IFERROR(__xludf.DUMMYFUNCTION("""COMPUTED_VALUE"""),"Karen")</f>
        <v>Karen</v>
      </c>
      <c r="B222" s="61" t="str">
        <f>IFERROR(__xludf.DUMMYFUNCTION("""COMPUTED_VALUE"""),"Normandy Apartments")</f>
        <v>Normandy Apartments</v>
      </c>
      <c r="C222" s="93">
        <f>IFERROR(__xludf.DUMMYFUNCTION("""COMPUTED_VALUE"""),1.0)</f>
        <v>1</v>
      </c>
      <c r="D222" s="94">
        <f>IFERROR(__xludf.DUMMYFUNCTION("""COMPUTED_VALUE"""),0.8239911693490956)</f>
        <v>0.8239911693</v>
      </c>
      <c r="E222" s="95">
        <f>IFERROR(__xludf.DUMMYFUNCTION("""COMPUTED_VALUE"""),2899.52)</f>
        <v>2899.52</v>
      </c>
      <c r="F222" s="96">
        <f>IFERROR(__xludf.DUMMYFUNCTION("""COMPUTED_VALUE"""),3279.27)</f>
        <v>3279.27</v>
      </c>
      <c r="G222" s="66">
        <f>IFERROR(__xludf.DUMMYFUNCTION("""COMPUTED_VALUE"""),0.0)</f>
        <v>0</v>
      </c>
      <c r="H222" s="67">
        <f>IFERROR(__xludf.DUMMYFUNCTION("""COMPUTED_VALUE"""),0.6818181818181818)</f>
        <v>0.6818181818</v>
      </c>
    </row>
    <row r="223">
      <c r="A223" s="68" t="str">
        <f>IFERROR(__xludf.DUMMYFUNCTION("""COMPUTED_VALUE"""),"Karen")</f>
        <v>Karen</v>
      </c>
      <c r="B223" s="68" t="str">
        <f>IFERROR(__xludf.DUMMYFUNCTION("""COMPUTED_VALUE"""),"Oakwood Gardens ")</f>
        <v>Oakwood Gardens </v>
      </c>
      <c r="C223" s="97">
        <f>IFERROR(__xludf.DUMMYFUNCTION("""COMPUTED_VALUE"""),0.84)</f>
        <v>0.84</v>
      </c>
      <c r="D223" s="98">
        <f>IFERROR(__xludf.DUMMYFUNCTION("""COMPUTED_VALUE"""),1.0100481718995242)</f>
        <v>1.010048172</v>
      </c>
      <c r="E223" s="99">
        <f>IFERROR(__xludf.DUMMYFUNCTION("""COMPUTED_VALUE"""),-499.9900000000001)</f>
        <v>-499.99</v>
      </c>
      <c r="F223" s="100">
        <f>IFERROR(__xludf.DUMMYFUNCTION("""COMPUTED_VALUE"""),-220.48)</f>
        <v>-220.48</v>
      </c>
      <c r="G223" s="66">
        <f>IFERROR(__xludf.DUMMYFUNCTION("""COMPUTED_VALUE"""),0.0)</f>
        <v>0</v>
      </c>
      <c r="H223" s="67">
        <f>IFERROR(__xludf.DUMMYFUNCTION("""COMPUTED_VALUE"""),0.7142857142857143)</f>
        <v>0.7142857143</v>
      </c>
    </row>
    <row r="224">
      <c r="A224" s="101" t="str">
        <f>IFERROR(__xludf.DUMMYFUNCTION("""COMPUTED_VALUE"""),"Sarah")</f>
        <v>Sarah</v>
      </c>
      <c r="B224" s="61" t="str">
        <f>IFERROR(__xludf.DUMMYFUNCTION("""COMPUTED_VALUE"""),"Pioneer Apartments ")</f>
        <v>Pioneer Apartments </v>
      </c>
      <c r="C224" s="62">
        <f>IFERROR(__xludf.DUMMYFUNCTION("""COMPUTED_VALUE"""),1.0)</f>
        <v>1</v>
      </c>
      <c r="D224" s="102">
        <f>IFERROR(__xludf.DUMMYFUNCTION("""COMPUTED_VALUE"""),0.9164256245702497)</f>
        <v>0.9164256246</v>
      </c>
      <c r="E224" s="103">
        <f>IFERROR(__xludf.DUMMYFUNCTION("""COMPUTED_VALUE"""),347.51)</f>
        <v>347.51</v>
      </c>
      <c r="F224" s="104">
        <f>IFERROR(__xludf.DUMMYFUNCTION("""COMPUTED_VALUE"""),2030.51)</f>
        <v>2030.51</v>
      </c>
      <c r="G224" s="66">
        <f>IFERROR(__xludf.DUMMYFUNCTION("""COMPUTED_VALUE"""),1.0)</f>
        <v>1</v>
      </c>
      <c r="H224" s="67">
        <f>IFERROR(__xludf.DUMMYFUNCTION("""COMPUTED_VALUE"""),0.9)</f>
        <v>0.9</v>
      </c>
    </row>
    <row r="225">
      <c r="A225" s="50"/>
      <c r="B225" s="51"/>
      <c r="C225" s="52">
        <f>IFERROR(__xludf.DUMMYFUNCTION("""COMPUTED_VALUE"""),0.8758783269961977)</f>
        <v>0.875878327</v>
      </c>
      <c r="D225" s="53">
        <f>IFERROR(__xludf.DUMMYFUNCTION("""COMPUTED_VALUE"""),0.9066618251599065)</f>
        <v>0.9066618252</v>
      </c>
      <c r="E225" s="54">
        <f>IFERROR(__xludf.DUMMYFUNCTION("""COMPUTED_VALUE"""),19767.14)</f>
        <v>19767.14</v>
      </c>
      <c r="F225" s="54">
        <f>IFERROR(__xludf.DUMMYFUNCTION("""COMPUTED_VALUE"""),35438.09999999999)</f>
        <v>35438.1</v>
      </c>
      <c r="G225" s="55">
        <f>IFERROR(__xludf.DUMMYFUNCTION("""COMPUTED_VALUE"""),5.0)</f>
        <v>5</v>
      </c>
      <c r="H225" s="56">
        <f>IFERROR(__xludf.DUMMYFUNCTION("""COMPUTED_VALUE"""),0.8064516129032258)</f>
        <v>0.8064516129</v>
      </c>
    </row>
    <row r="226">
      <c r="A226" s="121">
        <v>46048.0</v>
      </c>
      <c r="B226" s="10"/>
      <c r="C226" s="11"/>
      <c r="D226" s="11"/>
      <c r="E226" s="12"/>
      <c r="F226" s="13"/>
      <c r="G226" s="11"/>
      <c r="H226" s="14"/>
    </row>
    <row r="227">
      <c r="A227" s="35" t="str">
        <f>IFERROR(__xludf.DUMMYFUNCTION("IFERROR(
  IMPORTRANGE(TRIM($A$1), ""'"" &amp; TRIM(A226) &amp; ""'!A282:h296""),
  """"
)"),"Sarah")</f>
        <v>Sarah</v>
      </c>
      <c r="B227" s="36"/>
      <c r="C227" s="105">
        <f>IFERROR(__xludf.DUMMYFUNCTION("""COMPUTED_VALUE"""),0.9184081632653062)</f>
        <v>0.9184081633</v>
      </c>
      <c r="D227" s="106">
        <f>IFERROR(__xludf.DUMMYFUNCTION("""COMPUTED_VALUE"""),0.9785367078750696)</f>
        <v>0.9785367079</v>
      </c>
      <c r="E227" s="107">
        <f>IFERROR(__xludf.DUMMYFUNCTION("""COMPUTED_VALUE"""),-1401.77)</f>
        <v>-1401.77</v>
      </c>
      <c r="F227" s="108">
        <f>IFERROR(__xludf.DUMMYFUNCTION("""COMPUTED_VALUE"""),2016.4800000000002)</f>
        <v>2016.48</v>
      </c>
      <c r="G227" s="109">
        <f>IFERROR(__xludf.DUMMYFUNCTION("""COMPUTED_VALUE"""),3.0)</f>
        <v>3</v>
      </c>
      <c r="H227" s="110">
        <f>IFERROR(__xludf.DUMMYFUNCTION("""COMPUTED_VALUE"""),0.8826530612244898)</f>
        <v>0.8826530612</v>
      </c>
    </row>
    <row r="228">
      <c r="A228" s="26" t="str">
        <f>IFERROR(__xludf.DUMMYFUNCTION("""COMPUTED_VALUE"""),"Karen")</f>
        <v>Karen</v>
      </c>
      <c r="B228" s="27"/>
      <c r="C228" s="111">
        <f>IFERROR(__xludf.DUMMYFUNCTION("""COMPUTED_VALUE"""),0.8644170854271357)</f>
        <v>0.8644170854</v>
      </c>
      <c r="D228" s="112">
        <f>IFERROR(__xludf.DUMMYFUNCTION("""COMPUTED_VALUE"""),0.9045720759614765)</f>
        <v>0.904572076</v>
      </c>
      <c r="E228" s="113">
        <f>IFERROR(__xludf.DUMMYFUNCTION("""COMPUTED_VALUE"""),13375.960000000001)</f>
        <v>13375.96</v>
      </c>
      <c r="F228" s="114">
        <f>IFERROR(__xludf.DUMMYFUNCTION("""COMPUTED_VALUE"""),26551.42)</f>
        <v>26551.42</v>
      </c>
      <c r="G228" s="109">
        <f>IFERROR(__xludf.DUMMYFUNCTION("""COMPUTED_VALUE"""),2.0)</f>
        <v>2</v>
      </c>
      <c r="H228" s="115">
        <f>IFERROR(__xludf.DUMMYFUNCTION("""COMPUTED_VALUE"""),0.7895918932351094)</f>
        <v>0.7895918932</v>
      </c>
    </row>
    <row r="229">
      <c r="A229" s="35" t="str">
        <f>IFERROR(__xludf.DUMMYFUNCTION("""COMPUTED_VALUE"""),"Sam")</f>
        <v>Sam</v>
      </c>
      <c r="B229" s="36"/>
      <c r="C229" s="116">
        <f>IFERROR(__xludf.DUMMYFUNCTION("""COMPUTED_VALUE"""),0.0)</f>
        <v>0</v>
      </c>
      <c r="D229" s="117">
        <f>IFERROR(__xludf.DUMMYFUNCTION("""COMPUTED_VALUE"""),0.0)</f>
        <v>0</v>
      </c>
      <c r="E229" s="118">
        <f>IFERROR(__xludf.DUMMYFUNCTION("""COMPUTED_VALUE"""),0.0)</f>
        <v>0</v>
      </c>
      <c r="F229" s="118">
        <f>IFERROR(__xludf.DUMMYFUNCTION("""COMPUTED_VALUE"""),0.0)</f>
        <v>0</v>
      </c>
      <c r="G229" s="119">
        <f>IFERROR(__xludf.DUMMYFUNCTION("""COMPUTED_VALUE"""),0.0)</f>
        <v>0</v>
      </c>
      <c r="H229" s="120">
        <f>IFERROR(__xludf.DUMMYFUNCTION("""COMPUTED_VALUE"""),0.0)</f>
        <v>0</v>
      </c>
    </row>
    <row r="230">
      <c r="A230" s="61" t="str">
        <f>IFERROR(__xludf.DUMMYFUNCTION("""COMPUTED_VALUE"""),"Sarah")</f>
        <v>Sarah</v>
      </c>
      <c r="B230" s="61" t="str">
        <f>IFERROR(__xludf.DUMMYFUNCTION("""COMPUTED_VALUE"""),"1511 Sylvan Lane                                                                                                                                                ")</f>
        <v>1511 Sylvan Lane                                                                                                                                                </v>
      </c>
      <c r="C230" s="62">
        <f>IFERROR(__xludf.DUMMYFUNCTION("""COMPUTED_VALUE"""),0.75)</f>
        <v>0.75</v>
      </c>
      <c r="D230" s="63">
        <f>IFERROR(__xludf.DUMMYFUNCTION("""COMPUTED_VALUE"""),0.9997435897435898)</f>
        <v>0.9997435897</v>
      </c>
      <c r="E230" s="64">
        <f>IFERROR(__xludf.DUMMYFUNCTION("""COMPUTED_VALUE"""),0.75)</f>
        <v>0.75</v>
      </c>
      <c r="F230" s="65">
        <f>IFERROR(__xludf.DUMMYFUNCTION("""COMPUTED_VALUE"""),0.75)</f>
        <v>0.75</v>
      </c>
      <c r="G230" s="66">
        <f>IFERROR(__xludf.DUMMYFUNCTION("""COMPUTED_VALUE"""),0.0)</f>
        <v>0</v>
      </c>
      <c r="H230" s="67">
        <f>IFERROR(__xludf.DUMMYFUNCTION("""COMPUTED_VALUE"""),1.0)</f>
        <v>1</v>
      </c>
    </row>
    <row r="231">
      <c r="A231" s="68" t="str">
        <f>IFERROR(__xludf.DUMMYFUNCTION("""COMPUTED_VALUE"""),"Sarah")</f>
        <v>Sarah</v>
      </c>
      <c r="B231" s="68" t="str">
        <f>IFERROR(__xludf.DUMMYFUNCTION("""COMPUTED_VALUE"""),"3909 North Oakland Gravel Road                                                                                                                                                    ")</f>
        <v>3909 North Oakland Gravel Road                                                                                                                                                    </v>
      </c>
      <c r="C231" s="69">
        <f>IFERROR(__xludf.DUMMYFUNCTION("""COMPUTED_VALUE"""),0.667)</f>
        <v>0.667</v>
      </c>
      <c r="D231" s="70">
        <f>IFERROR(__xludf.DUMMYFUNCTION("""COMPUTED_VALUE"""),1.0)</f>
        <v>1</v>
      </c>
      <c r="E231" s="64">
        <f>IFERROR(__xludf.DUMMYFUNCTION("""COMPUTED_VALUE"""),0.0)</f>
        <v>0</v>
      </c>
      <c r="F231" s="71">
        <f>IFERROR(__xludf.DUMMYFUNCTION("""COMPUTED_VALUE"""),0.0)</f>
        <v>0</v>
      </c>
      <c r="G231" s="66">
        <f>IFERROR(__xludf.DUMMYFUNCTION("""COMPUTED_VALUE"""),0.0)</f>
        <v>0</v>
      </c>
      <c r="H231" s="67">
        <f>IFERROR(__xludf.DUMMYFUNCTION("""COMPUTED_VALUE"""),0.75)</f>
        <v>0.75</v>
      </c>
    </row>
    <row r="232">
      <c r="A232" s="61" t="str">
        <f>IFERROR(__xludf.DUMMYFUNCTION("""COMPUTED_VALUE"""),"Sarah")</f>
        <v>Sarah</v>
      </c>
      <c r="B232" s="61" t="str">
        <f>IFERROR(__xludf.DUMMYFUNCTION("""COMPUTED_VALUE"""),"407 Pecan Street                                                                                                                                                  ")</f>
        <v>407 Pecan Street                                                                                                                                                  </v>
      </c>
      <c r="C232" s="62">
        <f>IFERROR(__xludf.DUMMYFUNCTION("""COMPUTED_VALUE"""),0.8)</f>
        <v>0.8</v>
      </c>
      <c r="D232" s="72">
        <f>IFERROR(__xludf.DUMMYFUNCTION("""COMPUTED_VALUE"""),0.7521367521367521)</f>
        <v>0.7521367521</v>
      </c>
      <c r="E232" s="73">
        <f>IFERROR(__xludf.DUMMYFUNCTION("""COMPUTED_VALUE"""),725.0)</f>
        <v>725</v>
      </c>
      <c r="F232" s="74">
        <f>IFERROR(__xludf.DUMMYFUNCTION("""COMPUTED_VALUE"""),2360.25)</f>
        <v>2360.25</v>
      </c>
      <c r="G232" s="66">
        <f>IFERROR(__xludf.DUMMYFUNCTION("""COMPUTED_VALUE"""),1.0)</f>
        <v>1</v>
      </c>
      <c r="H232" s="67">
        <f>IFERROR(__xludf.DUMMYFUNCTION("""COMPUTED_VALUE"""),0.75)</f>
        <v>0.75</v>
      </c>
    </row>
    <row r="233">
      <c r="A233" s="68" t="str">
        <f>IFERROR(__xludf.DUMMYFUNCTION("""COMPUTED_VALUE"""),"Sarah")</f>
        <v>Sarah</v>
      </c>
      <c r="B233" s="68" t="str">
        <f>IFERROR(__xludf.DUMMYFUNCTION("""COMPUTED_VALUE"""),"801-803 Washington Avenue                                                                                                                                                      ")</f>
        <v>801-803 Washington Avenue                                                                                                                                                      </v>
      </c>
      <c r="C233" s="62">
        <f>IFERROR(__xludf.DUMMYFUNCTION("""COMPUTED_VALUE"""),1.0)</f>
        <v>1</v>
      </c>
      <c r="D233" s="75">
        <f>IFERROR(__xludf.DUMMYFUNCTION("""COMPUTED_VALUE"""),1.0131616766467066)</f>
        <v>1.013161677</v>
      </c>
      <c r="E233" s="64">
        <f>IFERROR(__xludf.DUMMYFUNCTION("""COMPUTED_VALUE"""),-10.99)</f>
        <v>-10.99</v>
      </c>
      <c r="F233" s="76">
        <f>IFERROR(__xludf.DUMMYFUNCTION("""COMPUTED_VALUE"""),-10.99)</f>
        <v>-10.99</v>
      </c>
      <c r="G233" s="66">
        <f>IFERROR(__xludf.DUMMYFUNCTION("""COMPUTED_VALUE"""),0.0)</f>
        <v>0</v>
      </c>
      <c r="H233" s="67">
        <f>IFERROR(__xludf.DUMMYFUNCTION("""COMPUTED_VALUE"""),1.0)</f>
        <v>1</v>
      </c>
    </row>
    <row r="234">
      <c r="A234" s="61" t="str">
        <f>IFERROR(__xludf.DUMMYFUNCTION("""COMPUTED_VALUE"""),"Sarah")</f>
        <v>Sarah</v>
      </c>
      <c r="B234" s="61" t="str">
        <f>IFERROR(__xludf.DUMMYFUNCTION("""COMPUTED_VALUE"""),"811 South Fairview Road                                                                                                                                                    ")</f>
        <v>811 South Fairview Road                                                                                                                                                    </v>
      </c>
      <c r="C234" s="62">
        <f>IFERROR(__xludf.DUMMYFUNCTION("""COMPUTED_VALUE"""),1.0)</f>
        <v>1</v>
      </c>
      <c r="D234" s="77">
        <f>IFERROR(__xludf.DUMMYFUNCTION("""COMPUTED_VALUE"""),1.5)</f>
        <v>1.5</v>
      </c>
      <c r="E234" s="78">
        <f>IFERROR(__xludf.DUMMYFUNCTION("""COMPUTED_VALUE"""),-1200.0)</f>
        <v>-1200</v>
      </c>
      <c r="F234" s="76">
        <f>IFERROR(__xludf.DUMMYFUNCTION("""COMPUTED_VALUE"""),-1200.0)</f>
        <v>-1200</v>
      </c>
      <c r="G234" s="66">
        <f>IFERROR(__xludf.DUMMYFUNCTION("""COMPUTED_VALUE"""),1.0)</f>
        <v>1</v>
      </c>
      <c r="H234" s="67">
        <f>IFERROR(__xludf.DUMMYFUNCTION("""COMPUTED_VALUE"""),1.0)</f>
        <v>1</v>
      </c>
    </row>
    <row r="235">
      <c r="A235" s="79" t="str">
        <f>IFERROR(__xludf.DUMMYFUNCTION("""COMPUTED_VALUE"""),"Karen")</f>
        <v>Karen</v>
      </c>
      <c r="B235" s="68" t="str">
        <f>IFERROR(__xludf.DUMMYFUNCTION("""COMPUTED_VALUE"""),"Glen Oaks ")</f>
        <v>Glen Oaks </v>
      </c>
      <c r="C235" s="80">
        <f>IFERROR(__xludf.DUMMYFUNCTION("""COMPUTED_VALUE"""),0.889)</f>
        <v>0.889</v>
      </c>
      <c r="D235" s="81">
        <f>IFERROR(__xludf.DUMMYFUNCTION("""COMPUTED_VALUE"""),0.8149364560013778)</f>
        <v>0.814936456</v>
      </c>
      <c r="E235" s="82">
        <f>IFERROR(__xludf.DUMMYFUNCTION("""COMPUTED_VALUE"""),5373.32)</f>
        <v>5373.32</v>
      </c>
      <c r="F235" s="83">
        <f>IFERROR(__xludf.DUMMYFUNCTION("""COMPUTED_VALUE"""),11261.89)</f>
        <v>11261.89</v>
      </c>
      <c r="G235" s="66">
        <f>IFERROR(__xludf.DUMMYFUNCTION("""COMPUTED_VALUE"""),1.0)</f>
        <v>1</v>
      </c>
      <c r="H235" s="67">
        <f>IFERROR(__xludf.DUMMYFUNCTION("""COMPUTED_VALUE"""),0.84375)</f>
        <v>0.84375</v>
      </c>
    </row>
    <row r="236">
      <c r="A236" s="61" t="str">
        <f>IFERROR(__xludf.DUMMYFUNCTION("""COMPUTED_VALUE"""),"Karen")</f>
        <v>Karen</v>
      </c>
      <c r="B236" s="61" t="str">
        <f>IFERROR(__xludf.DUMMYFUNCTION("""COMPUTED_VALUE"""),"Hilltop Townhomes ")</f>
        <v>Hilltop Townhomes </v>
      </c>
      <c r="C236" s="84">
        <f>IFERROR(__xludf.DUMMYFUNCTION("""COMPUTED_VALUE"""),0.765)</f>
        <v>0.765</v>
      </c>
      <c r="D236" s="81">
        <f>IFERROR(__xludf.DUMMYFUNCTION("""COMPUTED_VALUE"""),0.8355436135686658)</f>
        <v>0.8355436136</v>
      </c>
      <c r="E236" s="85">
        <f>IFERROR(__xludf.DUMMYFUNCTION("""COMPUTED_VALUE"""),5133.76)</f>
        <v>5133.76</v>
      </c>
      <c r="F236" s="86">
        <f>IFERROR(__xludf.DUMMYFUNCTION("""COMPUTED_VALUE"""),9662.71)</f>
        <v>9662.71</v>
      </c>
      <c r="G236" s="66">
        <f>IFERROR(__xludf.DUMMYFUNCTION("""COMPUTED_VALUE"""),1.0)</f>
        <v>1</v>
      </c>
      <c r="H236" s="67">
        <f>IFERROR(__xludf.DUMMYFUNCTION("""COMPUTED_VALUE"""),0.8974358974358975)</f>
        <v>0.8974358974</v>
      </c>
    </row>
    <row r="237">
      <c r="A237" s="68" t="str">
        <f>IFERROR(__xludf.DUMMYFUNCTION("""COMPUTED_VALUE"""),"Karen")</f>
        <v>Karen</v>
      </c>
      <c r="B237" s="68" t="str">
        <f>IFERROR(__xludf.DUMMYFUNCTION("""COMPUTED_VALUE"""),"Maple Manor Apartments                                                                                                                                             ")</f>
        <v>Maple Manor Apartments                                                                                                                                             </v>
      </c>
      <c r="C237" s="87">
        <f>IFERROR(__xludf.DUMMYFUNCTION("""COMPUTED_VALUE"""),0.925)</f>
        <v>0.925</v>
      </c>
      <c r="D237" s="88">
        <f>IFERROR(__xludf.DUMMYFUNCTION("""COMPUTED_VALUE"""),0.9171557296191052)</f>
        <v>0.9171557296</v>
      </c>
      <c r="E237" s="89">
        <f>IFERROR(__xludf.DUMMYFUNCTION("""COMPUTED_VALUE"""),2813.35)</f>
        <v>2813.35</v>
      </c>
      <c r="F237" s="90">
        <f>IFERROR(__xludf.DUMMYFUNCTION("""COMPUTED_VALUE"""),3748.03)</f>
        <v>3748.03</v>
      </c>
      <c r="G237" s="91">
        <f>IFERROR(__xludf.DUMMYFUNCTION("""COMPUTED_VALUE"""),0.0)</f>
        <v>0</v>
      </c>
      <c r="H237" s="92">
        <f>IFERROR(__xludf.DUMMYFUNCTION("""COMPUTED_VALUE"""),0.7567567567567568)</f>
        <v>0.7567567568</v>
      </c>
    </row>
    <row r="238">
      <c r="A238" s="61" t="str">
        <f>IFERROR(__xludf.DUMMYFUNCTION("""COMPUTED_VALUE"""),"Karen")</f>
        <v>Karen</v>
      </c>
      <c r="B238" s="61" t="str">
        <f>IFERROR(__xludf.DUMMYFUNCTION("""COMPUTED_VALUE"""),"Normandy Apartments")</f>
        <v>Normandy Apartments</v>
      </c>
      <c r="C238" s="93">
        <f>IFERROR(__xludf.DUMMYFUNCTION("""COMPUTED_VALUE"""),1.0)</f>
        <v>1</v>
      </c>
      <c r="D238" s="94">
        <f>IFERROR(__xludf.DUMMYFUNCTION("""COMPUTED_VALUE"""),0.9151462754593362)</f>
        <v>0.9151462755</v>
      </c>
      <c r="E238" s="95">
        <f>IFERROR(__xludf.DUMMYFUNCTION("""COMPUTED_VALUE"""),1289.52)</f>
        <v>1289.52</v>
      </c>
      <c r="F238" s="96">
        <f>IFERROR(__xludf.DUMMYFUNCTION("""COMPUTED_VALUE"""),1689.27)</f>
        <v>1689.27</v>
      </c>
      <c r="G238" s="66">
        <f>IFERROR(__xludf.DUMMYFUNCTION("""COMPUTED_VALUE"""),0.0)</f>
        <v>0</v>
      </c>
      <c r="H238" s="67">
        <f>IFERROR(__xludf.DUMMYFUNCTION("""COMPUTED_VALUE"""),0.6818181818181818)</f>
        <v>0.6818181818</v>
      </c>
    </row>
    <row r="239">
      <c r="A239" s="68" t="str">
        <f>IFERROR(__xludf.DUMMYFUNCTION("""COMPUTED_VALUE"""),"Karen")</f>
        <v>Karen</v>
      </c>
      <c r="B239" s="68" t="str">
        <f>IFERROR(__xludf.DUMMYFUNCTION("""COMPUTED_VALUE"""),"Oakwood Gardens ")</f>
        <v>Oakwood Gardens </v>
      </c>
      <c r="C239" s="97">
        <f>IFERROR(__xludf.DUMMYFUNCTION("""COMPUTED_VALUE"""),0.84)</f>
        <v>0.84</v>
      </c>
      <c r="D239" s="98">
        <f>IFERROR(__xludf.DUMMYFUNCTION("""COMPUTED_VALUE"""),1.0247991832682533)</f>
        <v>1.024799183</v>
      </c>
      <c r="E239" s="99">
        <f>IFERROR(__xludf.DUMMYFUNCTION("""COMPUTED_VALUE"""),-1233.99)</f>
        <v>-1233.99</v>
      </c>
      <c r="F239" s="100">
        <f>IFERROR(__xludf.DUMMYFUNCTION("""COMPUTED_VALUE"""),189.52)</f>
        <v>189.52</v>
      </c>
      <c r="G239" s="66">
        <f>IFERROR(__xludf.DUMMYFUNCTION("""COMPUTED_VALUE"""),0.0)</f>
        <v>0</v>
      </c>
      <c r="H239" s="67">
        <f>IFERROR(__xludf.DUMMYFUNCTION("""COMPUTED_VALUE"""),0.7142857142857143)</f>
        <v>0.7142857143</v>
      </c>
    </row>
    <row r="240">
      <c r="A240" s="101" t="str">
        <f>IFERROR(__xludf.DUMMYFUNCTION("""COMPUTED_VALUE"""),"Sarah")</f>
        <v>Sarah</v>
      </c>
      <c r="B240" s="61" t="str">
        <f>IFERROR(__xludf.DUMMYFUNCTION("""COMPUTED_VALUE"""),"Pioneer Apartments ")</f>
        <v>Pioneer Apartments </v>
      </c>
      <c r="C240" s="62">
        <f>IFERROR(__xludf.DUMMYFUNCTION("""COMPUTED_VALUE"""),1.0)</f>
        <v>1</v>
      </c>
      <c r="D240" s="102">
        <f>IFERROR(__xludf.DUMMYFUNCTION("""COMPUTED_VALUE"""),0.972077240430896)</f>
        <v>0.9720772404</v>
      </c>
      <c r="E240" s="103">
        <f>IFERROR(__xludf.DUMMYFUNCTION("""COMPUTED_VALUE"""),-916.53)</f>
        <v>-916.53</v>
      </c>
      <c r="F240" s="104">
        <f>IFERROR(__xludf.DUMMYFUNCTION("""COMPUTED_VALUE"""),866.47)</f>
        <v>866.47</v>
      </c>
      <c r="G240" s="66">
        <f>IFERROR(__xludf.DUMMYFUNCTION("""COMPUTED_VALUE"""),1.0)</f>
        <v>1</v>
      </c>
      <c r="H240" s="67">
        <f>IFERROR(__xludf.DUMMYFUNCTION("""COMPUTED_VALUE"""),0.9)</f>
        <v>0.9</v>
      </c>
    </row>
    <row r="241">
      <c r="A241" s="50"/>
      <c r="B241" s="51"/>
      <c r="C241" s="52">
        <f>IFERROR(__xludf.DUMMYFUNCTION("""COMPUTED_VALUE"""),0.8758783269961977)</f>
        <v>0.875878327</v>
      </c>
      <c r="D241" s="53">
        <f>IFERROR(__xludf.DUMMYFUNCTION("""COMPUTED_VALUE"""),0.9432811437189623)</f>
        <v>0.9432811437</v>
      </c>
      <c r="E241" s="54">
        <f>IFERROR(__xludf.DUMMYFUNCTION("""COMPUTED_VALUE"""),11974.19)</f>
        <v>11974.19</v>
      </c>
      <c r="F241" s="54">
        <f>IFERROR(__xludf.DUMMYFUNCTION("""COMPUTED_VALUE"""),28567.9)</f>
        <v>28567.9</v>
      </c>
      <c r="G241" s="55">
        <f>IFERROR(__xludf.DUMMYFUNCTION("""COMPUTED_VALUE"""),5.0)</f>
        <v>5</v>
      </c>
      <c r="H241" s="56">
        <f>IFERROR(__xludf.DUMMYFUNCTION("""COMPUTED_VALUE"""),0.8064516129032258)</f>
        <v>0.8064516129</v>
      </c>
    </row>
    <row r="242">
      <c r="C242" s="122"/>
      <c r="D242" s="123"/>
      <c r="E242" s="124"/>
      <c r="F242" s="124"/>
      <c r="G242" s="125"/>
      <c r="H242" s="126"/>
    </row>
    <row r="243">
      <c r="C243" s="122"/>
      <c r="D243" s="123"/>
      <c r="E243" s="124"/>
      <c r="F243" s="124"/>
      <c r="G243" s="125"/>
      <c r="H243" s="126"/>
    </row>
    <row r="244">
      <c r="C244" s="122"/>
      <c r="D244" s="123"/>
      <c r="E244" s="124"/>
      <c r="F244" s="124"/>
      <c r="G244" s="125"/>
      <c r="H244" s="126"/>
    </row>
    <row r="245">
      <c r="C245" s="122"/>
      <c r="D245" s="123"/>
      <c r="E245" s="124"/>
      <c r="F245" s="124"/>
      <c r="G245" s="125"/>
      <c r="H245" s="126"/>
    </row>
    <row r="246">
      <c r="C246" s="122"/>
      <c r="D246" s="123"/>
      <c r="E246" s="124"/>
      <c r="F246" s="124"/>
      <c r="G246" s="125"/>
      <c r="H246" s="126"/>
    </row>
    <row r="247">
      <c r="C247" s="122"/>
      <c r="D247" s="123"/>
      <c r="E247" s="124"/>
      <c r="F247" s="124"/>
      <c r="G247" s="125"/>
      <c r="H247" s="126"/>
    </row>
    <row r="248">
      <c r="C248" s="122"/>
      <c r="D248" s="123"/>
      <c r="E248" s="124"/>
      <c r="F248" s="124"/>
      <c r="G248" s="125"/>
      <c r="H248" s="126"/>
    </row>
    <row r="249">
      <c r="C249" s="122"/>
      <c r="D249" s="123"/>
      <c r="E249" s="124"/>
      <c r="F249" s="124"/>
      <c r="G249" s="125"/>
      <c r="H249" s="126"/>
    </row>
    <row r="250">
      <c r="C250" s="122"/>
      <c r="D250" s="123"/>
      <c r="E250" s="124"/>
      <c r="F250" s="124"/>
      <c r="G250" s="125"/>
      <c r="H250" s="126"/>
    </row>
    <row r="251">
      <c r="C251" s="122"/>
      <c r="D251" s="123"/>
      <c r="E251" s="124"/>
      <c r="F251" s="124"/>
      <c r="G251" s="125"/>
      <c r="H251" s="126"/>
    </row>
    <row r="252">
      <c r="C252" s="122"/>
      <c r="D252" s="123"/>
      <c r="E252" s="124"/>
      <c r="F252" s="124"/>
      <c r="G252" s="125"/>
      <c r="H252" s="126"/>
    </row>
    <row r="253">
      <c r="C253" s="122"/>
      <c r="D253" s="123"/>
      <c r="E253" s="124"/>
      <c r="F253" s="124"/>
      <c r="G253" s="125"/>
      <c r="H253" s="126"/>
    </row>
    <row r="254">
      <c r="C254" s="122"/>
      <c r="D254" s="123"/>
      <c r="E254" s="124"/>
      <c r="F254" s="124"/>
      <c r="G254" s="125"/>
      <c r="H254" s="126"/>
    </row>
    <row r="255">
      <c r="C255" s="122"/>
      <c r="D255" s="123"/>
      <c r="E255" s="124"/>
      <c r="F255" s="124"/>
      <c r="G255" s="125"/>
      <c r="H255" s="126"/>
    </row>
    <row r="256">
      <c r="C256" s="122"/>
      <c r="D256" s="123"/>
      <c r="E256" s="124"/>
      <c r="F256" s="124"/>
      <c r="G256" s="125"/>
      <c r="H256" s="126"/>
    </row>
    <row r="257">
      <c r="C257" s="122"/>
      <c r="D257" s="123"/>
      <c r="E257" s="124"/>
      <c r="F257" s="124"/>
      <c r="G257" s="125"/>
      <c r="H257" s="126"/>
    </row>
    <row r="258">
      <c r="C258" s="122"/>
      <c r="D258" s="123"/>
      <c r="E258" s="124"/>
      <c r="F258" s="124"/>
      <c r="G258" s="125"/>
      <c r="H258" s="126"/>
    </row>
    <row r="259">
      <c r="C259" s="122"/>
      <c r="D259" s="123"/>
      <c r="E259" s="124"/>
      <c r="F259" s="124"/>
      <c r="G259" s="125"/>
      <c r="H259" s="126"/>
    </row>
    <row r="260">
      <c r="C260" s="122"/>
      <c r="D260" s="123"/>
      <c r="E260" s="124"/>
      <c r="F260" s="124"/>
      <c r="G260" s="125"/>
      <c r="H260" s="126"/>
    </row>
    <row r="261">
      <c r="C261" s="122"/>
      <c r="D261" s="123"/>
      <c r="E261" s="124"/>
      <c r="F261" s="124"/>
      <c r="G261" s="125"/>
      <c r="H261" s="126"/>
    </row>
    <row r="262">
      <c r="C262" s="122"/>
      <c r="D262" s="123"/>
      <c r="E262" s="124"/>
      <c r="F262" s="124"/>
      <c r="G262" s="125"/>
      <c r="H262" s="126"/>
    </row>
    <row r="263">
      <c r="C263" s="122"/>
      <c r="D263" s="123"/>
      <c r="E263" s="124"/>
      <c r="F263" s="124"/>
      <c r="G263" s="125"/>
      <c r="H263" s="126"/>
    </row>
    <row r="264">
      <c r="C264" s="122"/>
      <c r="D264" s="123"/>
      <c r="E264" s="124"/>
      <c r="F264" s="124"/>
      <c r="G264" s="125"/>
      <c r="H264" s="126"/>
    </row>
    <row r="265">
      <c r="C265" s="122"/>
      <c r="D265" s="123"/>
      <c r="E265" s="124"/>
      <c r="F265" s="124"/>
      <c r="G265" s="125"/>
      <c r="H265" s="126"/>
    </row>
    <row r="266">
      <c r="C266" s="122"/>
      <c r="D266" s="123"/>
      <c r="E266" s="124"/>
      <c r="F266" s="124"/>
      <c r="G266" s="125"/>
      <c r="H266" s="126"/>
    </row>
    <row r="267">
      <c r="C267" s="122"/>
      <c r="D267" s="123"/>
      <c r="E267" s="124"/>
      <c r="F267" s="124"/>
      <c r="G267" s="125"/>
      <c r="H267" s="126"/>
    </row>
    <row r="268">
      <c r="C268" s="122"/>
      <c r="D268" s="123"/>
      <c r="E268" s="124"/>
      <c r="F268" s="124"/>
      <c r="G268" s="125"/>
      <c r="H268" s="126"/>
    </row>
    <row r="269">
      <c r="C269" s="122"/>
      <c r="D269" s="123"/>
      <c r="E269" s="124"/>
      <c r="F269" s="124"/>
      <c r="G269" s="125"/>
      <c r="H269" s="126"/>
    </row>
    <row r="270">
      <c r="C270" s="122"/>
      <c r="D270" s="123"/>
      <c r="E270" s="124"/>
      <c r="F270" s="124"/>
      <c r="G270" s="125"/>
      <c r="H270" s="126"/>
    </row>
    <row r="271">
      <c r="C271" s="122"/>
      <c r="D271" s="123"/>
      <c r="E271" s="124"/>
      <c r="F271" s="124"/>
      <c r="G271" s="125"/>
      <c r="H271" s="126"/>
    </row>
    <row r="272">
      <c r="C272" s="122"/>
      <c r="D272" s="123"/>
      <c r="E272" s="124"/>
      <c r="F272" s="124"/>
      <c r="G272" s="125"/>
      <c r="H272" s="126"/>
    </row>
    <row r="273">
      <c r="C273" s="122"/>
      <c r="D273" s="123"/>
      <c r="E273" s="124"/>
      <c r="F273" s="124"/>
      <c r="G273" s="125"/>
      <c r="H273" s="126"/>
    </row>
    <row r="274">
      <c r="C274" s="122"/>
      <c r="D274" s="123"/>
      <c r="E274" s="124"/>
      <c r="F274" s="124"/>
      <c r="G274" s="125"/>
      <c r="H274" s="126"/>
    </row>
    <row r="275">
      <c r="C275" s="122"/>
      <c r="D275" s="123"/>
      <c r="E275" s="124"/>
      <c r="F275" s="124"/>
      <c r="G275" s="125"/>
      <c r="H275" s="126"/>
    </row>
    <row r="276">
      <c r="C276" s="122"/>
      <c r="D276" s="123"/>
      <c r="E276" s="124"/>
      <c r="F276" s="124"/>
      <c r="G276" s="125"/>
      <c r="H276" s="126"/>
    </row>
    <row r="277">
      <c r="C277" s="122"/>
      <c r="D277" s="123"/>
      <c r="E277" s="124"/>
      <c r="F277" s="124"/>
      <c r="G277" s="125"/>
      <c r="H277" s="126"/>
    </row>
    <row r="278">
      <c r="C278" s="122"/>
      <c r="D278" s="123"/>
      <c r="E278" s="124"/>
      <c r="F278" s="124"/>
      <c r="G278" s="125"/>
      <c r="H278" s="126"/>
    </row>
    <row r="279">
      <c r="C279" s="122"/>
      <c r="D279" s="123"/>
      <c r="E279" s="124"/>
      <c r="F279" s="124"/>
      <c r="G279" s="125"/>
      <c r="H279" s="126"/>
    </row>
    <row r="280">
      <c r="C280" s="122"/>
      <c r="D280" s="123"/>
      <c r="E280" s="124"/>
      <c r="F280" s="124"/>
      <c r="G280" s="125"/>
      <c r="H280" s="126"/>
    </row>
    <row r="281">
      <c r="C281" s="122"/>
      <c r="D281" s="123"/>
      <c r="E281" s="124"/>
      <c r="F281" s="124"/>
      <c r="G281" s="125"/>
      <c r="H281" s="126"/>
    </row>
    <row r="282">
      <c r="C282" s="122"/>
      <c r="D282" s="123"/>
      <c r="E282" s="124"/>
      <c r="F282" s="124"/>
      <c r="G282" s="125"/>
      <c r="H282" s="126"/>
    </row>
    <row r="283">
      <c r="C283" s="122"/>
      <c r="D283" s="123"/>
      <c r="E283" s="124"/>
      <c r="F283" s="124"/>
      <c r="G283" s="125"/>
      <c r="H283" s="126"/>
    </row>
    <row r="284">
      <c r="C284" s="122"/>
      <c r="D284" s="123"/>
      <c r="E284" s="124"/>
      <c r="F284" s="124"/>
      <c r="G284" s="125"/>
      <c r="H284" s="126"/>
    </row>
    <row r="285">
      <c r="C285" s="122"/>
      <c r="D285" s="123"/>
      <c r="E285" s="124"/>
      <c r="F285" s="124"/>
      <c r="G285" s="125"/>
      <c r="H285" s="126"/>
    </row>
    <row r="286">
      <c r="C286" s="122"/>
      <c r="D286" s="123"/>
      <c r="E286" s="124"/>
      <c r="F286" s="124"/>
      <c r="G286" s="125"/>
      <c r="H286" s="126"/>
    </row>
    <row r="287">
      <c r="C287" s="122"/>
      <c r="D287" s="123"/>
      <c r="E287" s="124"/>
      <c r="F287" s="124"/>
      <c r="G287" s="125"/>
      <c r="H287" s="126"/>
    </row>
    <row r="288">
      <c r="C288" s="122"/>
      <c r="D288" s="123"/>
      <c r="E288" s="124"/>
      <c r="F288" s="124"/>
      <c r="G288" s="125"/>
      <c r="H288" s="126"/>
    </row>
    <row r="289">
      <c r="C289" s="122"/>
      <c r="D289" s="123"/>
      <c r="E289" s="124"/>
      <c r="F289" s="124"/>
      <c r="G289" s="125"/>
      <c r="H289" s="126"/>
    </row>
    <row r="290">
      <c r="C290" s="122"/>
      <c r="D290" s="123"/>
      <c r="E290" s="124"/>
      <c r="F290" s="124"/>
      <c r="G290" s="125"/>
      <c r="H290" s="126"/>
    </row>
    <row r="291">
      <c r="C291" s="122"/>
      <c r="D291" s="123"/>
      <c r="E291" s="124"/>
      <c r="F291" s="124"/>
      <c r="G291" s="125"/>
      <c r="H291" s="126"/>
    </row>
    <row r="292">
      <c r="C292" s="122"/>
      <c r="D292" s="123"/>
      <c r="E292" s="124"/>
      <c r="F292" s="124"/>
      <c r="G292" s="125"/>
      <c r="H292" s="126"/>
    </row>
    <row r="293">
      <c r="C293" s="122"/>
      <c r="D293" s="123"/>
      <c r="E293" s="124"/>
      <c r="F293" s="124"/>
      <c r="G293" s="125"/>
      <c r="H293" s="126"/>
    </row>
    <row r="294">
      <c r="C294" s="122"/>
      <c r="D294" s="123"/>
      <c r="E294" s="124"/>
      <c r="F294" s="124"/>
      <c r="G294" s="125"/>
      <c r="H294" s="126"/>
    </row>
    <row r="295">
      <c r="C295" s="122"/>
      <c r="D295" s="123"/>
      <c r="E295" s="124"/>
      <c r="F295" s="124"/>
      <c r="G295" s="125"/>
      <c r="H295" s="126"/>
    </row>
    <row r="296">
      <c r="C296" s="122"/>
      <c r="D296" s="123"/>
      <c r="E296" s="124"/>
      <c r="F296" s="124"/>
      <c r="G296" s="125"/>
      <c r="H296" s="126"/>
    </row>
    <row r="297">
      <c r="C297" s="122"/>
      <c r="D297" s="123"/>
      <c r="E297" s="124"/>
      <c r="F297" s="124"/>
      <c r="G297" s="125"/>
      <c r="H297" s="126"/>
    </row>
    <row r="298">
      <c r="C298" s="122"/>
      <c r="D298" s="123"/>
      <c r="E298" s="124"/>
      <c r="F298" s="124"/>
      <c r="G298" s="125"/>
      <c r="H298" s="126"/>
    </row>
    <row r="299">
      <c r="C299" s="122"/>
      <c r="D299" s="123"/>
      <c r="E299" s="124"/>
      <c r="F299" s="124"/>
      <c r="G299" s="125"/>
      <c r="H299" s="126"/>
    </row>
    <row r="300">
      <c r="C300" s="122"/>
      <c r="D300" s="123"/>
      <c r="E300" s="124"/>
      <c r="F300" s="124"/>
      <c r="G300" s="125"/>
      <c r="H300" s="126"/>
    </row>
    <row r="301">
      <c r="C301" s="122"/>
      <c r="D301" s="123"/>
      <c r="E301" s="124"/>
      <c r="F301" s="124"/>
      <c r="G301" s="125"/>
      <c r="H301" s="126"/>
    </row>
    <row r="302">
      <c r="C302" s="122"/>
      <c r="D302" s="123"/>
      <c r="E302" s="124"/>
      <c r="F302" s="124"/>
      <c r="G302" s="125"/>
      <c r="H302" s="126"/>
    </row>
    <row r="303">
      <c r="C303" s="122"/>
      <c r="D303" s="123"/>
      <c r="E303" s="124"/>
      <c r="F303" s="124"/>
      <c r="G303" s="125"/>
      <c r="H303" s="126"/>
    </row>
    <row r="304">
      <c r="C304" s="122"/>
      <c r="D304" s="123"/>
      <c r="E304" s="124"/>
      <c r="F304" s="124"/>
      <c r="G304" s="125"/>
      <c r="H304" s="126"/>
    </row>
    <row r="305">
      <c r="C305" s="122"/>
      <c r="D305" s="123"/>
      <c r="E305" s="124"/>
      <c r="F305" s="124"/>
      <c r="G305" s="125"/>
      <c r="H305" s="126"/>
    </row>
    <row r="306">
      <c r="C306" s="122"/>
      <c r="D306" s="123"/>
      <c r="E306" s="124"/>
      <c r="F306" s="124"/>
      <c r="G306" s="125"/>
      <c r="H306" s="126"/>
    </row>
    <row r="307">
      <c r="C307" s="122"/>
      <c r="D307" s="123"/>
      <c r="E307" s="124"/>
      <c r="F307" s="124"/>
      <c r="G307" s="125"/>
      <c r="H307" s="126"/>
    </row>
    <row r="308">
      <c r="C308" s="122"/>
      <c r="D308" s="123"/>
      <c r="E308" s="124"/>
      <c r="F308" s="124"/>
      <c r="G308" s="125"/>
      <c r="H308" s="126"/>
    </row>
    <row r="309">
      <c r="C309" s="122"/>
      <c r="D309" s="123"/>
      <c r="E309" s="124"/>
      <c r="F309" s="124"/>
      <c r="G309" s="125"/>
      <c r="H309" s="126"/>
    </row>
    <row r="310">
      <c r="C310" s="122"/>
      <c r="D310" s="123"/>
      <c r="E310" s="124"/>
      <c r="F310" s="124"/>
      <c r="G310" s="125"/>
      <c r="H310" s="126"/>
    </row>
    <row r="311">
      <c r="C311" s="122"/>
      <c r="D311" s="123"/>
      <c r="E311" s="124"/>
      <c r="F311" s="124"/>
      <c r="G311" s="125"/>
      <c r="H311" s="126"/>
    </row>
    <row r="312">
      <c r="C312" s="122"/>
      <c r="D312" s="123"/>
      <c r="E312" s="124"/>
      <c r="F312" s="124"/>
      <c r="G312" s="125"/>
      <c r="H312" s="126"/>
    </row>
    <row r="313">
      <c r="C313" s="122"/>
      <c r="D313" s="123"/>
      <c r="E313" s="124"/>
      <c r="F313" s="124"/>
      <c r="G313" s="125"/>
      <c r="H313" s="126"/>
    </row>
    <row r="314">
      <c r="C314" s="122"/>
      <c r="D314" s="123"/>
      <c r="E314" s="124"/>
      <c r="F314" s="124"/>
      <c r="G314" s="125"/>
      <c r="H314" s="126"/>
    </row>
    <row r="315">
      <c r="C315" s="122"/>
      <c r="D315" s="123"/>
      <c r="E315" s="124"/>
      <c r="F315" s="124"/>
      <c r="G315" s="125"/>
      <c r="H315" s="126"/>
    </row>
    <row r="316">
      <c r="C316" s="122"/>
      <c r="D316" s="123"/>
      <c r="E316" s="124"/>
      <c r="F316" s="124"/>
      <c r="G316" s="125"/>
      <c r="H316" s="126"/>
    </row>
    <row r="317">
      <c r="C317" s="122"/>
      <c r="D317" s="123"/>
      <c r="E317" s="124"/>
      <c r="F317" s="124"/>
      <c r="G317" s="125"/>
      <c r="H317" s="126"/>
    </row>
    <row r="318">
      <c r="C318" s="122"/>
      <c r="D318" s="123"/>
      <c r="E318" s="124"/>
      <c r="F318" s="124"/>
      <c r="G318" s="125"/>
      <c r="H318" s="126"/>
    </row>
    <row r="319">
      <c r="C319" s="122"/>
      <c r="D319" s="123"/>
      <c r="E319" s="124"/>
      <c r="F319" s="124"/>
      <c r="G319" s="125"/>
      <c r="H319" s="126"/>
    </row>
    <row r="320">
      <c r="C320" s="122"/>
      <c r="D320" s="123"/>
      <c r="E320" s="124"/>
      <c r="F320" s="124"/>
      <c r="G320" s="125"/>
      <c r="H320" s="126"/>
    </row>
    <row r="321">
      <c r="C321" s="122"/>
      <c r="D321" s="123"/>
      <c r="E321" s="124"/>
      <c r="F321" s="124"/>
      <c r="G321" s="125"/>
      <c r="H321" s="126"/>
    </row>
    <row r="322">
      <c r="C322" s="122"/>
      <c r="D322" s="123"/>
      <c r="E322" s="124"/>
      <c r="F322" s="124"/>
      <c r="G322" s="125"/>
      <c r="H322" s="126"/>
    </row>
    <row r="323">
      <c r="C323" s="122"/>
      <c r="D323" s="123"/>
      <c r="E323" s="124"/>
      <c r="F323" s="124"/>
      <c r="G323" s="125"/>
      <c r="H323" s="126"/>
    </row>
    <row r="324">
      <c r="C324" s="122"/>
      <c r="D324" s="123"/>
      <c r="E324" s="124"/>
      <c r="F324" s="124"/>
      <c r="G324" s="125"/>
      <c r="H324" s="126"/>
    </row>
    <row r="325">
      <c r="C325" s="122"/>
      <c r="D325" s="123"/>
      <c r="E325" s="124"/>
      <c r="F325" s="124"/>
      <c r="G325" s="125"/>
      <c r="H325" s="126"/>
    </row>
    <row r="326">
      <c r="C326" s="122"/>
      <c r="D326" s="123"/>
      <c r="E326" s="124"/>
      <c r="F326" s="124"/>
      <c r="G326" s="125"/>
      <c r="H326" s="126"/>
    </row>
    <row r="327">
      <c r="C327" s="122"/>
      <c r="D327" s="123"/>
      <c r="E327" s="124"/>
      <c r="F327" s="124"/>
      <c r="G327" s="125"/>
      <c r="H327" s="126"/>
    </row>
    <row r="328">
      <c r="C328" s="122"/>
      <c r="D328" s="123"/>
      <c r="E328" s="124"/>
      <c r="F328" s="124"/>
      <c r="G328" s="125"/>
      <c r="H328" s="126"/>
    </row>
    <row r="329">
      <c r="C329" s="122"/>
      <c r="D329" s="123"/>
      <c r="E329" s="124"/>
      <c r="F329" s="124"/>
      <c r="G329" s="125"/>
      <c r="H329" s="126"/>
    </row>
    <row r="330">
      <c r="C330" s="122"/>
      <c r="D330" s="123"/>
      <c r="E330" s="124"/>
      <c r="F330" s="124"/>
      <c r="G330" s="125"/>
      <c r="H330" s="126"/>
    </row>
    <row r="331">
      <c r="C331" s="122"/>
      <c r="D331" s="123"/>
      <c r="E331" s="124"/>
      <c r="F331" s="124"/>
      <c r="G331" s="125"/>
      <c r="H331" s="126"/>
    </row>
    <row r="332">
      <c r="C332" s="122"/>
      <c r="D332" s="123"/>
      <c r="E332" s="124"/>
      <c r="F332" s="124"/>
      <c r="G332" s="125"/>
      <c r="H332" s="126"/>
    </row>
    <row r="333">
      <c r="C333" s="122"/>
      <c r="D333" s="123"/>
      <c r="E333" s="124"/>
      <c r="F333" s="124"/>
      <c r="G333" s="125"/>
      <c r="H333" s="126"/>
    </row>
    <row r="334">
      <c r="C334" s="122"/>
      <c r="D334" s="123"/>
      <c r="E334" s="124"/>
      <c r="F334" s="124"/>
      <c r="G334" s="125"/>
      <c r="H334" s="126"/>
    </row>
    <row r="335">
      <c r="C335" s="122"/>
      <c r="D335" s="123"/>
      <c r="E335" s="124"/>
      <c r="F335" s="124"/>
      <c r="G335" s="125"/>
      <c r="H335" s="126"/>
    </row>
    <row r="336">
      <c r="C336" s="122"/>
      <c r="D336" s="123"/>
      <c r="E336" s="124"/>
      <c r="F336" s="124"/>
      <c r="G336" s="125"/>
      <c r="H336" s="126"/>
    </row>
    <row r="337">
      <c r="C337" s="122"/>
      <c r="D337" s="123"/>
      <c r="E337" s="124"/>
      <c r="F337" s="124"/>
      <c r="G337" s="125"/>
      <c r="H337" s="126"/>
    </row>
    <row r="338">
      <c r="C338" s="122"/>
      <c r="D338" s="123"/>
      <c r="E338" s="124"/>
      <c r="F338" s="124"/>
      <c r="G338" s="125"/>
      <c r="H338" s="126"/>
    </row>
    <row r="339">
      <c r="C339" s="122"/>
      <c r="D339" s="123"/>
      <c r="E339" s="124"/>
      <c r="F339" s="124"/>
      <c r="G339" s="125"/>
      <c r="H339" s="126"/>
    </row>
    <row r="340">
      <c r="C340" s="122"/>
      <c r="D340" s="123"/>
      <c r="E340" s="124"/>
      <c r="F340" s="124"/>
      <c r="G340" s="125"/>
      <c r="H340" s="126"/>
    </row>
    <row r="341">
      <c r="C341" s="122"/>
      <c r="D341" s="123"/>
      <c r="E341" s="124"/>
      <c r="F341" s="124"/>
      <c r="G341" s="125"/>
      <c r="H341" s="126"/>
    </row>
    <row r="342">
      <c r="C342" s="122"/>
      <c r="D342" s="123"/>
      <c r="E342" s="124"/>
      <c r="F342" s="124"/>
      <c r="G342" s="125"/>
      <c r="H342" s="126"/>
    </row>
    <row r="343">
      <c r="C343" s="122"/>
      <c r="D343" s="123"/>
      <c r="E343" s="124"/>
      <c r="F343" s="124"/>
      <c r="G343" s="125"/>
      <c r="H343" s="126"/>
    </row>
    <row r="344">
      <c r="C344" s="122"/>
      <c r="D344" s="123"/>
      <c r="E344" s="124"/>
      <c r="F344" s="124"/>
      <c r="G344" s="125"/>
      <c r="H344" s="126"/>
    </row>
    <row r="345">
      <c r="C345" s="122"/>
      <c r="D345" s="123"/>
      <c r="E345" s="124"/>
      <c r="F345" s="124"/>
      <c r="G345" s="125"/>
      <c r="H345" s="126"/>
    </row>
    <row r="346">
      <c r="C346" s="122"/>
      <c r="D346" s="123"/>
      <c r="E346" s="124"/>
      <c r="F346" s="124"/>
      <c r="G346" s="125"/>
      <c r="H346" s="126"/>
    </row>
    <row r="347">
      <c r="C347" s="122"/>
      <c r="D347" s="123"/>
      <c r="E347" s="124"/>
      <c r="F347" s="124"/>
      <c r="G347" s="125"/>
      <c r="H347" s="126"/>
    </row>
    <row r="348">
      <c r="C348" s="122"/>
      <c r="D348" s="123"/>
      <c r="E348" s="124"/>
      <c r="F348" s="124"/>
      <c r="G348" s="125"/>
      <c r="H348" s="126"/>
    </row>
    <row r="349">
      <c r="C349" s="122"/>
      <c r="D349" s="123"/>
      <c r="E349" s="124"/>
      <c r="F349" s="124"/>
      <c r="G349" s="125"/>
      <c r="H349" s="126"/>
    </row>
    <row r="350">
      <c r="C350" s="122"/>
      <c r="D350" s="123"/>
      <c r="E350" s="124"/>
      <c r="F350" s="124"/>
      <c r="G350" s="125"/>
      <c r="H350" s="126"/>
    </row>
    <row r="351">
      <c r="C351" s="122"/>
      <c r="D351" s="123"/>
      <c r="E351" s="124"/>
      <c r="F351" s="124"/>
      <c r="G351" s="125"/>
      <c r="H351" s="126"/>
    </row>
    <row r="352">
      <c r="C352" s="122"/>
      <c r="D352" s="123"/>
      <c r="E352" s="124"/>
      <c r="F352" s="124"/>
      <c r="G352" s="125"/>
      <c r="H352" s="126"/>
    </row>
    <row r="353">
      <c r="C353" s="122"/>
      <c r="D353" s="123"/>
      <c r="E353" s="124"/>
      <c r="F353" s="124"/>
      <c r="G353" s="125"/>
      <c r="H353" s="126"/>
    </row>
    <row r="354">
      <c r="C354" s="122"/>
      <c r="D354" s="123"/>
      <c r="E354" s="124"/>
      <c r="F354" s="124"/>
      <c r="G354" s="125"/>
      <c r="H354" s="126"/>
    </row>
    <row r="355">
      <c r="C355" s="122"/>
      <c r="D355" s="123"/>
      <c r="E355" s="124"/>
      <c r="F355" s="124"/>
      <c r="G355" s="125"/>
      <c r="H355" s="126"/>
    </row>
    <row r="356">
      <c r="C356" s="122"/>
      <c r="D356" s="123"/>
      <c r="E356" s="124"/>
      <c r="F356" s="124"/>
      <c r="G356" s="125"/>
      <c r="H356" s="126"/>
    </row>
    <row r="357">
      <c r="C357" s="122"/>
      <c r="D357" s="123"/>
      <c r="E357" s="124"/>
      <c r="F357" s="124"/>
      <c r="G357" s="125"/>
      <c r="H357" s="126"/>
    </row>
    <row r="358">
      <c r="C358" s="122"/>
      <c r="D358" s="123"/>
      <c r="E358" s="124"/>
      <c r="F358" s="124"/>
      <c r="G358" s="125"/>
      <c r="H358" s="126"/>
    </row>
    <row r="359">
      <c r="C359" s="122"/>
      <c r="D359" s="123"/>
      <c r="E359" s="124"/>
      <c r="F359" s="124"/>
      <c r="G359" s="125"/>
      <c r="H359" s="126"/>
    </row>
    <row r="360">
      <c r="C360" s="122"/>
      <c r="D360" s="123"/>
      <c r="E360" s="124"/>
      <c r="F360" s="124"/>
      <c r="G360" s="125"/>
      <c r="H360" s="126"/>
    </row>
    <row r="361">
      <c r="C361" s="122"/>
      <c r="D361" s="123"/>
      <c r="E361" s="124"/>
      <c r="F361" s="124"/>
      <c r="G361" s="125"/>
      <c r="H361" s="126"/>
    </row>
    <row r="362">
      <c r="C362" s="122"/>
      <c r="D362" s="123"/>
      <c r="E362" s="124"/>
      <c r="F362" s="124"/>
      <c r="G362" s="125"/>
      <c r="H362" s="126"/>
    </row>
    <row r="363">
      <c r="C363" s="122"/>
      <c r="D363" s="123"/>
      <c r="E363" s="124"/>
      <c r="F363" s="124"/>
      <c r="G363" s="125"/>
      <c r="H363" s="126"/>
    </row>
    <row r="364">
      <c r="C364" s="122"/>
      <c r="D364" s="123"/>
      <c r="E364" s="124"/>
      <c r="F364" s="124"/>
      <c r="G364" s="125"/>
      <c r="H364" s="126"/>
    </row>
    <row r="365">
      <c r="C365" s="122"/>
      <c r="D365" s="123"/>
      <c r="E365" s="124"/>
      <c r="F365" s="124"/>
      <c r="G365" s="125"/>
      <c r="H365" s="126"/>
    </row>
    <row r="366">
      <c r="C366" s="122"/>
      <c r="D366" s="123"/>
      <c r="E366" s="124"/>
      <c r="F366" s="124"/>
      <c r="G366" s="125"/>
      <c r="H366" s="126"/>
    </row>
    <row r="367">
      <c r="C367" s="122"/>
      <c r="D367" s="123"/>
      <c r="E367" s="124"/>
      <c r="F367" s="124"/>
      <c r="G367" s="125"/>
      <c r="H367" s="126"/>
    </row>
    <row r="368">
      <c r="C368" s="122"/>
      <c r="D368" s="123"/>
      <c r="E368" s="124"/>
      <c r="F368" s="124"/>
      <c r="G368" s="125"/>
      <c r="H368" s="126"/>
    </row>
    <row r="369">
      <c r="C369" s="122"/>
      <c r="D369" s="123"/>
      <c r="E369" s="124"/>
      <c r="F369" s="124"/>
      <c r="G369" s="125"/>
      <c r="H369" s="126"/>
    </row>
    <row r="370">
      <c r="C370" s="122"/>
      <c r="D370" s="123"/>
      <c r="E370" s="124"/>
      <c r="F370" s="124"/>
      <c r="G370" s="125"/>
      <c r="H370" s="126"/>
    </row>
    <row r="371">
      <c r="C371" s="122"/>
      <c r="D371" s="123"/>
      <c r="E371" s="124"/>
      <c r="F371" s="124"/>
      <c r="G371" s="125"/>
      <c r="H371" s="126"/>
    </row>
    <row r="372">
      <c r="C372" s="122"/>
      <c r="D372" s="123"/>
      <c r="E372" s="124"/>
      <c r="F372" s="124"/>
      <c r="G372" s="125"/>
      <c r="H372" s="126"/>
    </row>
    <row r="373">
      <c r="C373" s="122"/>
      <c r="D373" s="123"/>
      <c r="E373" s="124"/>
      <c r="F373" s="124"/>
      <c r="G373" s="125"/>
      <c r="H373" s="126"/>
    </row>
    <row r="374">
      <c r="C374" s="122"/>
      <c r="D374" s="123"/>
      <c r="E374" s="124"/>
      <c r="F374" s="124"/>
      <c r="G374" s="125"/>
      <c r="H374" s="126"/>
    </row>
    <row r="375">
      <c r="C375" s="122"/>
      <c r="D375" s="123"/>
      <c r="E375" s="124"/>
      <c r="F375" s="124"/>
      <c r="G375" s="125"/>
      <c r="H375" s="126"/>
    </row>
    <row r="376">
      <c r="C376" s="122"/>
      <c r="D376" s="123"/>
      <c r="E376" s="124"/>
      <c r="F376" s="124"/>
      <c r="G376" s="125"/>
      <c r="H376" s="126"/>
    </row>
    <row r="377">
      <c r="C377" s="122"/>
      <c r="D377" s="123"/>
      <c r="E377" s="124"/>
      <c r="F377" s="124"/>
      <c r="G377" s="125"/>
      <c r="H377" s="126"/>
    </row>
    <row r="378">
      <c r="C378" s="122"/>
      <c r="D378" s="123"/>
      <c r="E378" s="124"/>
      <c r="F378" s="124"/>
      <c r="G378" s="125"/>
      <c r="H378" s="126"/>
    </row>
    <row r="379">
      <c r="C379" s="122"/>
      <c r="D379" s="123"/>
      <c r="E379" s="124"/>
      <c r="F379" s="124"/>
      <c r="G379" s="125"/>
      <c r="H379" s="126"/>
    </row>
    <row r="380">
      <c r="C380" s="122"/>
      <c r="D380" s="123"/>
      <c r="E380" s="124"/>
      <c r="F380" s="124"/>
      <c r="G380" s="125"/>
      <c r="H380" s="126"/>
    </row>
    <row r="381">
      <c r="C381" s="122"/>
      <c r="D381" s="123"/>
      <c r="E381" s="124"/>
      <c r="F381" s="124"/>
      <c r="G381" s="125"/>
      <c r="H381" s="126"/>
    </row>
    <row r="382">
      <c r="C382" s="122"/>
      <c r="D382" s="123"/>
      <c r="E382" s="124"/>
      <c r="F382" s="124"/>
      <c r="G382" s="125"/>
      <c r="H382" s="126"/>
    </row>
    <row r="383">
      <c r="C383" s="122"/>
      <c r="D383" s="123"/>
      <c r="E383" s="124"/>
      <c r="F383" s="124"/>
      <c r="G383" s="125"/>
      <c r="H383" s="126"/>
    </row>
    <row r="384">
      <c r="C384" s="122"/>
      <c r="D384" s="123"/>
      <c r="E384" s="124"/>
      <c r="F384" s="124"/>
      <c r="G384" s="125"/>
      <c r="H384" s="126"/>
    </row>
    <row r="385">
      <c r="C385" s="122"/>
      <c r="D385" s="123"/>
      <c r="E385" s="124"/>
      <c r="F385" s="124"/>
      <c r="G385" s="125"/>
      <c r="H385" s="126"/>
    </row>
    <row r="386">
      <c r="C386" s="122"/>
      <c r="D386" s="123"/>
      <c r="E386" s="124"/>
      <c r="F386" s="124"/>
      <c r="G386" s="125"/>
      <c r="H386" s="126"/>
    </row>
    <row r="387">
      <c r="C387" s="122"/>
      <c r="D387" s="123"/>
      <c r="E387" s="124"/>
      <c r="F387" s="124"/>
      <c r="G387" s="125"/>
      <c r="H387" s="126"/>
    </row>
    <row r="388">
      <c r="C388" s="122"/>
      <c r="D388" s="123"/>
      <c r="E388" s="124"/>
      <c r="F388" s="124"/>
      <c r="G388" s="125"/>
      <c r="H388" s="126"/>
    </row>
    <row r="389">
      <c r="C389" s="122"/>
      <c r="D389" s="123"/>
      <c r="E389" s="124"/>
      <c r="F389" s="124"/>
      <c r="G389" s="125"/>
      <c r="H389" s="126"/>
    </row>
    <row r="390">
      <c r="C390" s="122"/>
      <c r="D390" s="123"/>
      <c r="E390" s="124"/>
      <c r="F390" s="124"/>
      <c r="G390" s="125"/>
      <c r="H390" s="126"/>
    </row>
    <row r="391">
      <c r="C391" s="122"/>
      <c r="D391" s="123"/>
      <c r="E391" s="124"/>
      <c r="F391" s="124"/>
      <c r="G391" s="125"/>
      <c r="H391" s="126"/>
    </row>
    <row r="392">
      <c r="C392" s="122"/>
      <c r="D392" s="123"/>
      <c r="E392" s="124"/>
      <c r="F392" s="124"/>
      <c r="G392" s="125"/>
      <c r="H392" s="126"/>
    </row>
    <row r="393">
      <c r="C393" s="122"/>
      <c r="D393" s="123"/>
      <c r="E393" s="124"/>
      <c r="F393" s="124"/>
      <c r="G393" s="125"/>
      <c r="H393" s="126"/>
    </row>
    <row r="394">
      <c r="C394" s="122"/>
      <c r="D394" s="123"/>
      <c r="E394" s="124"/>
      <c r="F394" s="124"/>
      <c r="G394" s="125"/>
      <c r="H394" s="126"/>
    </row>
    <row r="395">
      <c r="C395" s="122"/>
      <c r="D395" s="123"/>
      <c r="E395" s="124"/>
      <c r="F395" s="124"/>
      <c r="G395" s="125"/>
      <c r="H395" s="126"/>
    </row>
    <row r="396">
      <c r="C396" s="122"/>
      <c r="D396" s="123"/>
      <c r="E396" s="124"/>
      <c r="F396" s="124"/>
      <c r="G396" s="125"/>
      <c r="H396" s="126"/>
    </row>
    <row r="397">
      <c r="C397" s="122"/>
      <c r="D397" s="123"/>
      <c r="E397" s="124"/>
      <c r="F397" s="124"/>
      <c r="G397" s="125"/>
      <c r="H397" s="126"/>
    </row>
    <row r="398">
      <c r="C398" s="122"/>
      <c r="D398" s="123"/>
      <c r="E398" s="124"/>
      <c r="F398" s="124"/>
      <c r="G398" s="125"/>
      <c r="H398" s="126"/>
    </row>
    <row r="399">
      <c r="C399" s="122"/>
      <c r="D399" s="123"/>
      <c r="E399" s="124"/>
      <c r="F399" s="124"/>
      <c r="G399" s="125"/>
      <c r="H399" s="126"/>
    </row>
    <row r="400">
      <c r="C400" s="122"/>
      <c r="D400" s="123"/>
      <c r="E400" s="124"/>
      <c r="F400" s="124"/>
      <c r="G400" s="125"/>
      <c r="H400" s="126"/>
    </row>
    <row r="401">
      <c r="C401" s="122"/>
      <c r="D401" s="123"/>
      <c r="E401" s="124"/>
      <c r="F401" s="124"/>
      <c r="G401" s="125"/>
      <c r="H401" s="126"/>
    </row>
    <row r="402">
      <c r="C402" s="122"/>
      <c r="D402" s="123"/>
      <c r="E402" s="124"/>
      <c r="F402" s="124"/>
      <c r="G402" s="125"/>
      <c r="H402" s="126"/>
    </row>
    <row r="403">
      <c r="C403" s="122"/>
      <c r="D403" s="123"/>
      <c r="E403" s="124"/>
      <c r="F403" s="124"/>
      <c r="G403" s="125"/>
      <c r="H403" s="126"/>
    </row>
    <row r="404">
      <c r="C404" s="122"/>
      <c r="D404" s="123"/>
      <c r="E404" s="124"/>
      <c r="F404" s="124"/>
      <c r="G404" s="125"/>
      <c r="H404" s="126"/>
    </row>
    <row r="405">
      <c r="C405" s="122"/>
      <c r="D405" s="123"/>
      <c r="E405" s="124"/>
      <c r="F405" s="124"/>
      <c r="G405" s="125"/>
      <c r="H405" s="126"/>
    </row>
    <row r="406">
      <c r="C406" s="122"/>
      <c r="D406" s="123"/>
      <c r="E406" s="124"/>
      <c r="F406" s="124"/>
      <c r="G406" s="125"/>
      <c r="H406" s="126"/>
    </row>
    <row r="407">
      <c r="C407" s="122"/>
      <c r="D407" s="123"/>
      <c r="E407" s="124"/>
      <c r="F407" s="124"/>
      <c r="G407" s="125"/>
      <c r="H407" s="126"/>
    </row>
    <row r="408">
      <c r="C408" s="122"/>
      <c r="D408" s="123"/>
      <c r="E408" s="124"/>
      <c r="F408" s="124"/>
      <c r="G408" s="125"/>
      <c r="H408" s="126"/>
    </row>
    <row r="409">
      <c r="C409" s="122"/>
      <c r="D409" s="123"/>
      <c r="E409" s="124"/>
      <c r="F409" s="124"/>
      <c r="G409" s="125"/>
      <c r="H409" s="126"/>
    </row>
    <row r="410">
      <c r="C410" s="122"/>
      <c r="D410" s="123"/>
      <c r="E410" s="124"/>
      <c r="F410" s="124"/>
      <c r="G410" s="125"/>
      <c r="H410" s="126"/>
    </row>
    <row r="411">
      <c r="C411" s="122"/>
      <c r="D411" s="123"/>
      <c r="E411" s="124"/>
      <c r="F411" s="124"/>
      <c r="G411" s="125"/>
      <c r="H411" s="126"/>
    </row>
    <row r="412">
      <c r="C412" s="122"/>
      <c r="D412" s="123"/>
      <c r="E412" s="124"/>
      <c r="F412" s="124"/>
      <c r="G412" s="125"/>
      <c r="H412" s="126"/>
    </row>
    <row r="413">
      <c r="C413" s="122"/>
      <c r="D413" s="123"/>
      <c r="E413" s="124"/>
      <c r="F413" s="124"/>
      <c r="G413" s="125"/>
      <c r="H413" s="126"/>
    </row>
    <row r="414">
      <c r="C414" s="122"/>
      <c r="D414" s="123"/>
      <c r="E414" s="124"/>
      <c r="F414" s="124"/>
      <c r="G414" s="125"/>
      <c r="H414" s="126"/>
    </row>
    <row r="415">
      <c r="C415" s="122"/>
      <c r="D415" s="123"/>
      <c r="E415" s="124"/>
      <c r="F415" s="124"/>
      <c r="G415" s="125"/>
      <c r="H415" s="126"/>
    </row>
    <row r="416">
      <c r="C416" s="122"/>
      <c r="D416" s="123"/>
      <c r="E416" s="124"/>
      <c r="F416" s="124"/>
      <c r="G416" s="125"/>
      <c r="H416" s="126"/>
    </row>
    <row r="417">
      <c r="C417" s="122"/>
      <c r="D417" s="123"/>
      <c r="E417" s="124"/>
      <c r="F417" s="124"/>
      <c r="G417" s="125"/>
      <c r="H417" s="126"/>
    </row>
    <row r="418">
      <c r="C418" s="122"/>
      <c r="D418" s="123"/>
      <c r="E418" s="124"/>
      <c r="F418" s="124"/>
      <c r="G418" s="125"/>
      <c r="H418" s="126"/>
    </row>
    <row r="419">
      <c r="C419" s="122"/>
      <c r="D419" s="123"/>
      <c r="E419" s="124"/>
      <c r="F419" s="124"/>
      <c r="G419" s="125"/>
      <c r="H419" s="126"/>
    </row>
    <row r="420">
      <c r="C420" s="122"/>
      <c r="D420" s="123"/>
      <c r="E420" s="124"/>
      <c r="F420" s="124"/>
      <c r="G420" s="125"/>
      <c r="H420" s="126"/>
    </row>
    <row r="421">
      <c r="C421" s="122"/>
      <c r="D421" s="123"/>
      <c r="E421" s="124"/>
      <c r="F421" s="124"/>
      <c r="G421" s="125"/>
      <c r="H421" s="126"/>
    </row>
    <row r="422">
      <c r="C422" s="122"/>
      <c r="D422" s="123"/>
      <c r="E422" s="124"/>
      <c r="F422" s="124"/>
      <c r="G422" s="125"/>
      <c r="H422" s="126"/>
    </row>
    <row r="423">
      <c r="C423" s="122"/>
      <c r="D423" s="123"/>
      <c r="E423" s="124"/>
      <c r="F423" s="124"/>
      <c r="G423" s="125"/>
      <c r="H423" s="126"/>
    </row>
    <row r="424">
      <c r="C424" s="122"/>
      <c r="D424" s="123"/>
      <c r="E424" s="124"/>
      <c r="F424" s="124"/>
      <c r="G424" s="125"/>
      <c r="H424" s="126"/>
    </row>
    <row r="425">
      <c r="C425" s="122"/>
      <c r="D425" s="123"/>
      <c r="E425" s="124"/>
      <c r="F425" s="124"/>
      <c r="G425" s="125"/>
      <c r="H425" s="126"/>
    </row>
    <row r="426">
      <c r="C426" s="122"/>
      <c r="D426" s="123"/>
      <c r="E426" s="124"/>
      <c r="F426" s="124"/>
      <c r="G426" s="125"/>
      <c r="H426" s="126"/>
    </row>
    <row r="427">
      <c r="C427" s="122"/>
      <c r="D427" s="123"/>
      <c r="E427" s="124"/>
      <c r="F427" s="124"/>
      <c r="G427" s="125"/>
      <c r="H427" s="126"/>
    </row>
    <row r="428">
      <c r="C428" s="122"/>
      <c r="D428" s="123"/>
      <c r="E428" s="124"/>
      <c r="F428" s="124"/>
      <c r="G428" s="125"/>
      <c r="H428" s="126"/>
    </row>
    <row r="429">
      <c r="C429" s="122"/>
      <c r="D429" s="123"/>
      <c r="E429" s="124"/>
      <c r="F429" s="124"/>
      <c r="G429" s="125"/>
      <c r="H429" s="126"/>
    </row>
    <row r="430">
      <c r="C430" s="122"/>
      <c r="D430" s="123"/>
      <c r="E430" s="124"/>
      <c r="F430" s="124"/>
      <c r="G430" s="125"/>
      <c r="H430" s="126"/>
    </row>
    <row r="431">
      <c r="C431" s="122"/>
      <c r="D431" s="123"/>
      <c r="E431" s="124"/>
      <c r="F431" s="124"/>
      <c r="G431" s="125"/>
      <c r="H431" s="126"/>
    </row>
    <row r="432">
      <c r="C432" s="122"/>
      <c r="D432" s="123"/>
      <c r="E432" s="124"/>
      <c r="F432" s="124"/>
      <c r="G432" s="125"/>
      <c r="H432" s="126"/>
    </row>
    <row r="433">
      <c r="C433" s="122"/>
      <c r="D433" s="123"/>
      <c r="E433" s="124"/>
      <c r="F433" s="124"/>
      <c r="G433" s="125"/>
      <c r="H433" s="126"/>
    </row>
    <row r="434">
      <c r="C434" s="122"/>
      <c r="D434" s="123"/>
      <c r="E434" s="124"/>
      <c r="F434" s="124"/>
      <c r="G434" s="125"/>
      <c r="H434" s="126"/>
    </row>
    <row r="435">
      <c r="C435" s="122"/>
      <c r="D435" s="123"/>
      <c r="E435" s="124"/>
      <c r="F435" s="124"/>
      <c r="G435" s="125"/>
      <c r="H435" s="126"/>
    </row>
    <row r="436">
      <c r="C436" s="122"/>
      <c r="D436" s="123"/>
      <c r="E436" s="124"/>
      <c r="F436" s="124"/>
      <c r="G436" s="125"/>
      <c r="H436" s="126"/>
    </row>
    <row r="437">
      <c r="C437" s="122"/>
      <c r="D437" s="123"/>
      <c r="E437" s="124"/>
      <c r="F437" s="124"/>
      <c r="G437" s="125"/>
      <c r="H437" s="126"/>
    </row>
    <row r="438">
      <c r="C438" s="122"/>
      <c r="D438" s="123"/>
      <c r="E438" s="124"/>
      <c r="F438" s="124"/>
      <c r="G438" s="125"/>
      <c r="H438" s="126"/>
    </row>
    <row r="439">
      <c r="C439" s="122"/>
      <c r="D439" s="123"/>
      <c r="E439" s="124"/>
      <c r="F439" s="124"/>
      <c r="G439" s="125"/>
      <c r="H439" s="126"/>
    </row>
    <row r="440">
      <c r="C440" s="122"/>
      <c r="D440" s="123"/>
      <c r="E440" s="124"/>
      <c r="F440" s="124"/>
      <c r="G440" s="125"/>
      <c r="H440" s="126"/>
    </row>
    <row r="441">
      <c r="C441" s="122"/>
      <c r="D441" s="123"/>
      <c r="E441" s="124"/>
      <c r="F441" s="124"/>
      <c r="G441" s="125"/>
      <c r="H441" s="126"/>
    </row>
    <row r="442">
      <c r="C442" s="122"/>
      <c r="D442" s="123"/>
      <c r="E442" s="124"/>
      <c r="F442" s="124"/>
      <c r="G442" s="125"/>
      <c r="H442" s="126"/>
    </row>
    <row r="443">
      <c r="C443" s="122"/>
      <c r="D443" s="123"/>
      <c r="E443" s="124"/>
      <c r="F443" s="124"/>
      <c r="G443" s="125"/>
      <c r="H443" s="126"/>
    </row>
    <row r="444">
      <c r="C444" s="122"/>
      <c r="D444" s="123"/>
      <c r="E444" s="124"/>
      <c r="F444" s="124"/>
      <c r="G444" s="125"/>
      <c r="H444" s="126"/>
    </row>
    <row r="445">
      <c r="C445" s="122"/>
      <c r="D445" s="123"/>
      <c r="E445" s="124"/>
      <c r="F445" s="124"/>
      <c r="G445" s="125"/>
      <c r="H445" s="126"/>
    </row>
    <row r="446">
      <c r="C446" s="122"/>
      <c r="D446" s="123"/>
      <c r="E446" s="124"/>
      <c r="F446" s="124"/>
      <c r="G446" s="125"/>
      <c r="H446" s="126"/>
    </row>
    <row r="447">
      <c r="C447" s="122"/>
      <c r="D447" s="123"/>
      <c r="E447" s="124"/>
      <c r="F447" s="124"/>
      <c r="G447" s="125"/>
      <c r="H447" s="126"/>
    </row>
    <row r="448">
      <c r="C448" s="122"/>
      <c r="D448" s="123"/>
      <c r="E448" s="124"/>
      <c r="F448" s="124"/>
      <c r="G448" s="125"/>
      <c r="H448" s="126"/>
    </row>
    <row r="449">
      <c r="C449" s="122"/>
      <c r="D449" s="123"/>
      <c r="E449" s="124"/>
      <c r="F449" s="124"/>
      <c r="G449" s="125"/>
      <c r="H449" s="126"/>
    </row>
    <row r="450">
      <c r="C450" s="122"/>
      <c r="D450" s="123"/>
      <c r="E450" s="124"/>
      <c r="F450" s="124"/>
      <c r="G450" s="125"/>
      <c r="H450" s="126"/>
    </row>
    <row r="451">
      <c r="C451" s="122"/>
      <c r="D451" s="123"/>
      <c r="E451" s="124"/>
      <c r="F451" s="124"/>
      <c r="G451" s="125"/>
      <c r="H451" s="126"/>
    </row>
    <row r="452">
      <c r="C452" s="122"/>
      <c r="D452" s="123"/>
      <c r="E452" s="124"/>
      <c r="F452" s="124"/>
      <c r="G452" s="125"/>
      <c r="H452" s="126"/>
    </row>
    <row r="453">
      <c r="C453" s="122"/>
      <c r="D453" s="123"/>
      <c r="E453" s="124"/>
      <c r="F453" s="124"/>
      <c r="G453" s="125"/>
      <c r="H453" s="126"/>
    </row>
    <row r="454">
      <c r="C454" s="122"/>
      <c r="D454" s="123"/>
      <c r="E454" s="124"/>
      <c r="F454" s="124"/>
      <c r="G454" s="125"/>
      <c r="H454" s="126"/>
    </row>
    <row r="455">
      <c r="C455" s="122"/>
      <c r="D455" s="123"/>
      <c r="E455" s="124"/>
      <c r="F455" s="124"/>
      <c r="G455" s="125"/>
      <c r="H455" s="126"/>
    </row>
    <row r="456">
      <c r="C456" s="122"/>
      <c r="D456" s="123"/>
      <c r="E456" s="124"/>
      <c r="F456" s="124"/>
      <c r="G456" s="125"/>
      <c r="H456" s="126"/>
    </row>
    <row r="457">
      <c r="C457" s="122"/>
      <c r="D457" s="123"/>
      <c r="E457" s="124"/>
      <c r="F457" s="124"/>
      <c r="G457" s="125"/>
      <c r="H457" s="126"/>
    </row>
    <row r="458">
      <c r="C458" s="122"/>
      <c r="D458" s="123"/>
      <c r="E458" s="124"/>
      <c r="F458" s="124"/>
      <c r="G458" s="125"/>
      <c r="H458" s="126"/>
    </row>
    <row r="459">
      <c r="C459" s="122"/>
      <c r="D459" s="123"/>
      <c r="E459" s="124"/>
      <c r="F459" s="124"/>
      <c r="G459" s="125"/>
      <c r="H459" s="126"/>
    </row>
    <row r="460">
      <c r="C460" s="122"/>
      <c r="D460" s="123"/>
      <c r="E460" s="124"/>
      <c r="F460" s="124"/>
      <c r="G460" s="125"/>
      <c r="H460" s="126"/>
    </row>
    <row r="461">
      <c r="C461" s="122"/>
      <c r="D461" s="123"/>
      <c r="E461" s="124"/>
      <c r="F461" s="124"/>
      <c r="G461" s="125"/>
      <c r="H461" s="126"/>
    </row>
    <row r="462">
      <c r="C462" s="122"/>
      <c r="D462" s="123"/>
      <c r="E462" s="124"/>
      <c r="F462" s="124"/>
      <c r="G462" s="125"/>
      <c r="H462" s="126"/>
    </row>
    <row r="463">
      <c r="C463" s="122"/>
      <c r="D463" s="123"/>
      <c r="E463" s="124"/>
      <c r="F463" s="124"/>
      <c r="G463" s="125"/>
      <c r="H463" s="126"/>
    </row>
    <row r="464">
      <c r="C464" s="122"/>
      <c r="D464" s="123"/>
      <c r="E464" s="124"/>
      <c r="F464" s="124"/>
      <c r="G464" s="125"/>
      <c r="H464" s="126"/>
    </row>
    <row r="465">
      <c r="C465" s="122"/>
      <c r="D465" s="123"/>
      <c r="E465" s="124"/>
      <c r="F465" s="124"/>
      <c r="G465" s="125"/>
      <c r="H465" s="126"/>
    </row>
    <row r="466">
      <c r="C466" s="122"/>
      <c r="D466" s="123"/>
      <c r="E466" s="124"/>
      <c r="F466" s="124"/>
      <c r="G466" s="125"/>
      <c r="H466" s="126"/>
    </row>
    <row r="467">
      <c r="C467" s="122"/>
      <c r="D467" s="123"/>
      <c r="E467" s="124"/>
      <c r="F467" s="124"/>
      <c r="G467" s="125"/>
      <c r="H467" s="126"/>
    </row>
    <row r="468">
      <c r="C468" s="122"/>
      <c r="D468" s="123"/>
      <c r="E468" s="124"/>
      <c r="F468" s="124"/>
      <c r="G468" s="125"/>
      <c r="H468" s="126"/>
    </row>
    <row r="469">
      <c r="C469" s="122"/>
      <c r="D469" s="123"/>
      <c r="E469" s="124"/>
      <c r="F469" s="124"/>
      <c r="G469" s="125"/>
      <c r="H469" s="126"/>
    </row>
    <row r="470">
      <c r="C470" s="122"/>
      <c r="D470" s="123"/>
      <c r="E470" s="124"/>
      <c r="F470" s="124"/>
      <c r="G470" s="125"/>
      <c r="H470" s="126"/>
    </row>
    <row r="471">
      <c r="C471" s="122"/>
      <c r="D471" s="123"/>
      <c r="E471" s="124"/>
      <c r="F471" s="124"/>
      <c r="G471" s="125"/>
      <c r="H471" s="126"/>
    </row>
    <row r="472">
      <c r="C472" s="122"/>
      <c r="D472" s="123"/>
      <c r="E472" s="124"/>
      <c r="F472" s="124"/>
      <c r="G472" s="125"/>
      <c r="H472" s="126"/>
    </row>
    <row r="473">
      <c r="C473" s="122"/>
      <c r="D473" s="123"/>
      <c r="E473" s="124"/>
      <c r="F473" s="124"/>
      <c r="G473" s="125"/>
      <c r="H473" s="126"/>
    </row>
    <row r="474">
      <c r="C474" s="122"/>
      <c r="D474" s="123"/>
      <c r="E474" s="124"/>
      <c r="F474" s="124"/>
      <c r="G474" s="125"/>
      <c r="H474" s="126"/>
    </row>
    <row r="475">
      <c r="C475" s="122"/>
      <c r="D475" s="123"/>
      <c r="E475" s="124"/>
      <c r="F475" s="124"/>
      <c r="G475" s="125"/>
      <c r="H475" s="126"/>
    </row>
    <row r="476">
      <c r="C476" s="122"/>
      <c r="D476" s="123"/>
      <c r="E476" s="124"/>
      <c r="F476" s="124"/>
      <c r="G476" s="125"/>
      <c r="H476" s="126"/>
    </row>
    <row r="477">
      <c r="C477" s="122"/>
      <c r="D477" s="123"/>
      <c r="E477" s="124"/>
      <c r="F477" s="124"/>
      <c r="G477" s="125"/>
      <c r="H477" s="126"/>
    </row>
    <row r="478">
      <c r="C478" s="122"/>
      <c r="D478" s="123"/>
      <c r="E478" s="124"/>
      <c r="F478" s="124"/>
      <c r="G478" s="125"/>
      <c r="H478" s="126"/>
    </row>
    <row r="479">
      <c r="C479" s="122"/>
      <c r="D479" s="123"/>
      <c r="E479" s="124"/>
      <c r="F479" s="124"/>
      <c r="G479" s="125"/>
      <c r="H479" s="126"/>
    </row>
    <row r="480">
      <c r="C480" s="122"/>
      <c r="D480" s="123"/>
      <c r="E480" s="124"/>
      <c r="F480" s="124"/>
      <c r="G480" s="125"/>
      <c r="H480" s="126"/>
    </row>
    <row r="481">
      <c r="C481" s="122"/>
      <c r="D481" s="123"/>
      <c r="E481" s="124"/>
      <c r="F481" s="124"/>
      <c r="G481" s="125"/>
      <c r="H481" s="126"/>
    </row>
    <row r="482">
      <c r="C482" s="122"/>
      <c r="D482" s="123"/>
      <c r="E482" s="124"/>
      <c r="F482" s="124"/>
      <c r="G482" s="125"/>
      <c r="H482" s="126"/>
    </row>
    <row r="483">
      <c r="C483" s="122"/>
      <c r="D483" s="123"/>
      <c r="E483" s="124"/>
      <c r="F483" s="124"/>
      <c r="G483" s="125"/>
      <c r="H483" s="126"/>
    </row>
    <row r="484">
      <c r="C484" s="122"/>
      <c r="D484" s="123"/>
      <c r="E484" s="124"/>
      <c r="F484" s="124"/>
      <c r="G484" s="125"/>
      <c r="H484" s="126"/>
    </row>
    <row r="485">
      <c r="C485" s="122"/>
      <c r="D485" s="123"/>
      <c r="E485" s="124"/>
      <c r="F485" s="124"/>
      <c r="G485" s="125"/>
      <c r="H485" s="126"/>
    </row>
    <row r="486">
      <c r="C486" s="122"/>
      <c r="D486" s="123"/>
      <c r="E486" s="124"/>
      <c r="F486" s="124"/>
      <c r="G486" s="125"/>
      <c r="H486" s="126"/>
    </row>
    <row r="487">
      <c r="C487" s="122"/>
      <c r="D487" s="123"/>
      <c r="E487" s="124"/>
      <c r="F487" s="124"/>
      <c r="G487" s="125"/>
      <c r="H487" s="126"/>
    </row>
    <row r="488">
      <c r="C488" s="122"/>
      <c r="D488" s="123"/>
      <c r="E488" s="124"/>
      <c r="F488" s="124"/>
      <c r="G488" s="125"/>
      <c r="H488" s="126"/>
    </row>
    <row r="489">
      <c r="C489" s="122"/>
      <c r="D489" s="123"/>
      <c r="E489" s="124"/>
      <c r="F489" s="124"/>
      <c r="G489" s="125"/>
      <c r="H489" s="126"/>
    </row>
    <row r="490">
      <c r="C490" s="122"/>
      <c r="D490" s="123"/>
      <c r="E490" s="124"/>
      <c r="F490" s="124"/>
      <c r="G490" s="125"/>
      <c r="H490" s="126"/>
    </row>
    <row r="491">
      <c r="C491" s="122"/>
      <c r="D491" s="123"/>
      <c r="E491" s="124"/>
      <c r="F491" s="124"/>
      <c r="G491" s="125"/>
      <c r="H491" s="126"/>
    </row>
    <row r="492">
      <c r="C492" s="122"/>
      <c r="D492" s="123"/>
      <c r="E492" s="124"/>
      <c r="F492" s="124"/>
      <c r="G492" s="125"/>
      <c r="H492" s="126"/>
    </row>
    <row r="493">
      <c r="C493" s="122"/>
      <c r="D493" s="123"/>
      <c r="E493" s="124"/>
      <c r="F493" s="124"/>
      <c r="G493" s="125"/>
      <c r="H493" s="126"/>
    </row>
    <row r="494">
      <c r="C494" s="122"/>
      <c r="D494" s="123"/>
      <c r="E494" s="124"/>
      <c r="F494" s="124"/>
      <c r="G494" s="125"/>
      <c r="H494" s="126"/>
    </row>
    <row r="495">
      <c r="C495" s="122"/>
      <c r="D495" s="123"/>
      <c r="E495" s="124"/>
      <c r="F495" s="124"/>
      <c r="G495" s="125"/>
      <c r="H495" s="126"/>
    </row>
    <row r="496">
      <c r="C496" s="122"/>
      <c r="D496" s="123"/>
      <c r="E496" s="124"/>
      <c r="F496" s="124"/>
      <c r="G496" s="125"/>
      <c r="H496" s="126"/>
    </row>
    <row r="497">
      <c r="C497" s="122"/>
      <c r="D497" s="123"/>
      <c r="E497" s="124"/>
      <c r="F497" s="124"/>
      <c r="G497" s="125"/>
      <c r="H497" s="126"/>
    </row>
    <row r="498">
      <c r="C498" s="122"/>
      <c r="D498" s="123"/>
      <c r="E498" s="124"/>
      <c r="F498" s="124"/>
      <c r="G498" s="125"/>
      <c r="H498" s="126"/>
    </row>
    <row r="499">
      <c r="C499" s="122"/>
      <c r="D499" s="123"/>
      <c r="E499" s="124"/>
      <c r="F499" s="124"/>
      <c r="G499" s="125"/>
      <c r="H499" s="126"/>
    </row>
    <row r="500">
      <c r="C500" s="122"/>
      <c r="D500" s="123"/>
      <c r="E500" s="124"/>
      <c r="F500" s="124"/>
      <c r="G500" s="125"/>
      <c r="H500" s="126"/>
    </row>
    <row r="501">
      <c r="C501" s="122"/>
      <c r="D501" s="123"/>
      <c r="E501" s="124"/>
      <c r="F501" s="124"/>
      <c r="G501" s="125"/>
      <c r="H501" s="126"/>
    </row>
    <row r="502">
      <c r="C502" s="122"/>
      <c r="D502" s="123"/>
      <c r="E502" s="124"/>
      <c r="F502" s="124"/>
      <c r="G502" s="125"/>
      <c r="H502" s="126"/>
    </row>
    <row r="503">
      <c r="C503" s="122"/>
      <c r="D503" s="123"/>
      <c r="E503" s="124"/>
      <c r="F503" s="124"/>
      <c r="G503" s="125"/>
      <c r="H503" s="126"/>
    </row>
    <row r="504">
      <c r="C504" s="122"/>
      <c r="D504" s="123"/>
      <c r="E504" s="124"/>
      <c r="F504" s="124"/>
      <c r="G504" s="125"/>
      <c r="H504" s="126"/>
    </row>
    <row r="505">
      <c r="C505" s="122"/>
      <c r="D505" s="123"/>
      <c r="E505" s="124"/>
      <c r="F505" s="124"/>
      <c r="G505" s="125"/>
      <c r="H505" s="126"/>
    </row>
    <row r="506">
      <c r="C506" s="122"/>
      <c r="D506" s="123"/>
      <c r="E506" s="124"/>
      <c r="F506" s="124"/>
      <c r="G506" s="125"/>
      <c r="H506" s="126"/>
    </row>
    <row r="507">
      <c r="C507" s="122"/>
      <c r="D507" s="123"/>
      <c r="E507" s="124"/>
      <c r="F507" s="124"/>
      <c r="G507" s="125"/>
      <c r="H507" s="126"/>
    </row>
    <row r="508">
      <c r="C508" s="122"/>
      <c r="D508" s="123"/>
      <c r="E508" s="124"/>
      <c r="F508" s="124"/>
      <c r="G508" s="125"/>
      <c r="H508" s="126"/>
    </row>
    <row r="509">
      <c r="C509" s="122"/>
      <c r="D509" s="123"/>
      <c r="E509" s="124"/>
      <c r="F509" s="124"/>
      <c r="G509" s="125"/>
      <c r="H509" s="126"/>
    </row>
    <row r="510">
      <c r="C510" s="122"/>
      <c r="D510" s="123"/>
      <c r="E510" s="124"/>
      <c r="F510" s="124"/>
      <c r="G510" s="125"/>
      <c r="H510" s="126"/>
    </row>
    <row r="511">
      <c r="C511" s="122"/>
      <c r="D511" s="123"/>
      <c r="E511" s="124"/>
      <c r="F511" s="124"/>
      <c r="G511" s="125"/>
      <c r="H511" s="126"/>
    </row>
    <row r="512">
      <c r="C512" s="122"/>
      <c r="D512" s="123"/>
      <c r="E512" s="124"/>
      <c r="F512" s="124"/>
      <c r="G512" s="125"/>
      <c r="H512" s="126"/>
    </row>
    <row r="513">
      <c r="C513" s="122"/>
      <c r="D513" s="123"/>
      <c r="E513" s="124"/>
      <c r="F513" s="124"/>
      <c r="G513" s="125"/>
      <c r="H513" s="126"/>
    </row>
    <row r="514">
      <c r="C514" s="122"/>
      <c r="D514" s="123"/>
      <c r="E514" s="124"/>
      <c r="F514" s="124"/>
      <c r="G514" s="125"/>
      <c r="H514" s="126"/>
    </row>
    <row r="515">
      <c r="C515" s="122"/>
      <c r="D515" s="123"/>
      <c r="E515" s="124"/>
      <c r="F515" s="124"/>
      <c r="G515" s="125"/>
      <c r="H515" s="126"/>
    </row>
    <row r="516">
      <c r="C516" s="122"/>
      <c r="D516" s="123"/>
      <c r="E516" s="124"/>
      <c r="F516" s="124"/>
      <c r="G516" s="125"/>
      <c r="H516" s="126"/>
    </row>
    <row r="517">
      <c r="C517" s="122"/>
      <c r="D517" s="123"/>
      <c r="E517" s="124"/>
      <c r="F517" s="124"/>
      <c r="G517" s="125"/>
      <c r="H517" s="126"/>
    </row>
    <row r="518">
      <c r="C518" s="122"/>
      <c r="D518" s="123"/>
      <c r="E518" s="124"/>
      <c r="F518" s="124"/>
      <c r="G518" s="125"/>
      <c r="H518" s="126"/>
    </row>
    <row r="519">
      <c r="C519" s="122"/>
      <c r="D519" s="123"/>
      <c r="E519" s="124"/>
      <c r="F519" s="124"/>
      <c r="G519" s="125"/>
      <c r="H519" s="126"/>
    </row>
    <row r="520">
      <c r="C520" s="122"/>
      <c r="D520" s="123"/>
      <c r="E520" s="124"/>
      <c r="F520" s="124"/>
      <c r="G520" s="125"/>
      <c r="H520" s="126"/>
    </row>
    <row r="521">
      <c r="C521" s="122"/>
      <c r="D521" s="123"/>
      <c r="E521" s="124"/>
      <c r="F521" s="124"/>
      <c r="G521" s="125"/>
      <c r="H521" s="126"/>
    </row>
    <row r="522">
      <c r="C522" s="122"/>
      <c r="D522" s="123"/>
      <c r="E522" s="124"/>
      <c r="F522" s="124"/>
      <c r="G522" s="125"/>
      <c r="H522" s="126"/>
    </row>
    <row r="523">
      <c r="C523" s="122"/>
      <c r="D523" s="123"/>
      <c r="E523" s="124"/>
      <c r="F523" s="124"/>
      <c r="G523" s="125"/>
      <c r="H523" s="126"/>
    </row>
    <row r="524">
      <c r="C524" s="122"/>
      <c r="D524" s="123"/>
      <c r="E524" s="124"/>
      <c r="F524" s="124"/>
      <c r="G524" s="125"/>
      <c r="H524" s="126"/>
    </row>
    <row r="525">
      <c r="C525" s="122"/>
      <c r="D525" s="123"/>
      <c r="E525" s="124"/>
      <c r="F525" s="124"/>
      <c r="G525" s="125"/>
      <c r="H525" s="126"/>
    </row>
    <row r="526">
      <c r="C526" s="122"/>
      <c r="D526" s="123"/>
      <c r="E526" s="124"/>
      <c r="F526" s="124"/>
      <c r="G526" s="125"/>
      <c r="H526" s="126"/>
    </row>
    <row r="527">
      <c r="C527" s="122"/>
      <c r="D527" s="123"/>
      <c r="E527" s="124"/>
      <c r="F527" s="124"/>
      <c r="G527" s="125"/>
      <c r="H527" s="126"/>
    </row>
    <row r="528">
      <c r="C528" s="122"/>
      <c r="D528" s="123"/>
      <c r="E528" s="124"/>
      <c r="F528" s="124"/>
      <c r="G528" s="125"/>
      <c r="H528" s="126"/>
    </row>
    <row r="529">
      <c r="C529" s="122"/>
      <c r="D529" s="123"/>
      <c r="E529" s="124"/>
      <c r="F529" s="124"/>
      <c r="G529" s="125"/>
      <c r="H529" s="126"/>
    </row>
    <row r="530">
      <c r="C530" s="122"/>
      <c r="D530" s="123"/>
      <c r="E530" s="124"/>
      <c r="F530" s="124"/>
      <c r="G530" s="125"/>
      <c r="H530" s="126"/>
    </row>
    <row r="531">
      <c r="C531" s="122"/>
      <c r="D531" s="123"/>
      <c r="E531" s="124"/>
      <c r="F531" s="124"/>
      <c r="G531" s="125"/>
      <c r="H531" s="126"/>
    </row>
    <row r="532">
      <c r="C532" s="122"/>
      <c r="D532" s="123"/>
      <c r="E532" s="124"/>
      <c r="F532" s="124"/>
      <c r="G532" s="125"/>
      <c r="H532" s="126"/>
    </row>
    <row r="533">
      <c r="C533" s="122"/>
      <c r="D533" s="123"/>
      <c r="E533" s="124"/>
      <c r="F533" s="124"/>
      <c r="G533" s="125"/>
      <c r="H533" s="126"/>
    </row>
    <row r="534">
      <c r="C534" s="122"/>
      <c r="D534" s="123"/>
      <c r="E534" s="124"/>
      <c r="F534" s="124"/>
      <c r="G534" s="125"/>
      <c r="H534" s="126"/>
    </row>
    <row r="535">
      <c r="C535" s="122"/>
      <c r="D535" s="123"/>
      <c r="E535" s="124"/>
      <c r="F535" s="124"/>
      <c r="G535" s="125"/>
      <c r="H535" s="126"/>
    </row>
    <row r="536">
      <c r="C536" s="122"/>
      <c r="D536" s="123"/>
      <c r="E536" s="124"/>
      <c r="F536" s="124"/>
      <c r="G536" s="125"/>
      <c r="H536" s="126"/>
    </row>
    <row r="537">
      <c r="C537" s="122"/>
      <c r="D537" s="123"/>
      <c r="E537" s="124"/>
      <c r="F537" s="124"/>
      <c r="G537" s="125"/>
      <c r="H537" s="126"/>
    </row>
    <row r="538">
      <c r="C538" s="122"/>
      <c r="D538" s="123"/>
      <c r="E538" s="124"/>
      <c r="F538" s="124"/>
      <c r="G538" s="125"/>
      <c r="H538" s="126"/>
    </row>
    <row r="539">
      <c r="C539" s="122"/>
      <c r="D539" s="123"/>
      <c r="E539" s="124"/>
      <c r="F539" s="124"/>
      <c r="G539" s="125"/>
      <c r="H539" s="126"/>
    </row>
    <row r="540">
      <c r="C540" s="122"/>
      <c r="D540" s="123"/>
      <c r="E540" s="124"/>
      <c r="F540" s="124"/>
      <c r="G540" s="125"/>
      <c r="H540" s="126"/>
    </row>
    <row r="541">
      <c r="C541" s="122"/>
      <c r="D541" s="123"/>
      <c r="E541" s="124"/>
      <c r="F541" s="124"/>
      <c r="G541" s="125"/>
      <c r="H541" s="126"/>
    </row>
    <row r="542">
      <c r="C542" s="122"/>
      <c r="D542" s="123"/>
      <c r="E542" s="124"/>
      <c r="F542" s="124"/>
      <c r="G542" s="125"/>
      <c r="H542" s="126"/>
    </row>
    <row r="543">
      <c r="C543" s="122"/>
      <c r="D543" s="123"/>
      <c r="E543" s="124"/>
      <c r="F543" s="124"/>
      <c r="G543" s="125"/>
      <c r="H543" s="126"/>
    </row>
    <row r="544">
      <c r="C544" s="122"/>
      <c r="D544" s="123"/>
      <c r="E544" s="124"/>
      <c r="F544" s="124"/>
      <c r="G544" s="125"/>
      <c r="H544" s="126"/>
    </row>
    <row r="545">
      <c r="C545" s="122"/>
      <c r="D545" s="123"/>
      <c r="E545" s="124"/>
      <c r="F545" s="124"/>
      <c r="G545" s="125"/>
      <c r="H545" s="126"/>
    </row>
    <row r="546">
      <c r="C546" s="122"/>
      <c r="D546" s="123"/>
      <c r="E546" s="124"/>
      <c r="F546" s="124"/>
      <c r="G546" s="125"/>
      <c r="H546" s="126"/>
    </row>
    <row r="547">
      <c r="C547" s="122"/>
      <c r="D547" s="123"/>
      <c r="E547" s="124"/>
      <c r="F547" s="124"/>
      <c r="G547" s="125"/>
      <c r="H547" s="126"/>
    </row>
    <row r="548">
      <c r="C548" s="122"/>
      <c r="D548" s="123"/>
      <c r="E548" s="124"/>
      <c r="F548" s="124"/>
      <c r="G548" s="125"/>
      <c r="H548" s="126"/>
    </row>
    <row r="549">
      <c r="C549" s="122"/>
      <c r="D549" s="123"/>
      <c r="E549" s="124"/>
      <c r="F549" s="124"/>
      <c r="G549" s="125"/>
      <c r="H549" s="126"/>
    </row>
    <row r="550">
      <c r="C550" s="122"/>
      <c r="D550" s="123"/>
      <c r="E550" s="124"/>
      <c r="F550" s="124"/>
      <c r="G550" s="125"/>
      <c r="H550" s="126"/>
    </row>
    <row r="551">
      <c r="C551" s="122"/>
      <c r="D551" s="123"/>
      <c r="E551" s="124"/>
      <c r="F551" s="124"/>
      <c r="G551" s="125"/>
      <c r="H551" s="126"/>
    </row>
    <row r="552">
      <c r="C552" s="122"/>
      <c r="D552" s="123"/>
      <c r="E552" s="124"/>
      <c r="F552" s="124"/>
      <c r="G552" s="125"/>
      <c r="H552" s="126"/>
    </row>
    <row r="553">
      <c r="C553" s="122"/>
      <c r="D553" s="123"/>
      <c r="E553" s="124"/>
      <c r="F553" s="124"/>
      <c r="G553" s="125"/>
      <c r="H553" s="126"/>
    </row>
    <row r="554">
      <c r="C554" s="122"/>
      <c r="D554" s="123"/>
      <c r="E554" s="124"/>
      <c r="F554" s="124"/>
      <c r="G554" s="125"/>
      <c r="H554" s="126"/>
    </row>
    <row r="555">
      <c r="C555" s="122"/>
      <c r="D555" s="123"/>
      <c r="E555" s="124"/>
      <c r="F555" s="124"/>
      <c r="G555" s="125"/>
      <c r="H555" s="126"/>
    </row>
    <row r="556">
      <c r="C556" s="122"/>
      <c r="D556" s="123"/>
      <c r="E556" s="124"/>
      <c r="F556" s="124"/>
      <c r="G556" s="125"/>
      <c r="H556" s="126"/>
    </row>
    <row r="557">
      <c r="C557" s="122"/>
      <c r="D557" s="123"/>
      <c r="E557" s="124"/>
      <c r="F557" s="124"/>
      <c r="G557" s="125"/>
      <c r="H557" s="126"/>
    </row>
    <row r="558">
      <c r="C558" s="122"/>
      <c r="D558" s="123"/>
      <c r="E558" s="124"/>
      <c r="F558" s="124"/>
      <c r="G558" s="125"/>
      <c r="H558" s="126"/>
    </row>
    <row r="559">
      <c r="C559" s="122"/>
      <c r="D559" s="123"/>
      <c r="E559" s="124"/>
      <c r="F559" s="124"/>
      <c r="G559" s="125"/>
      <c r="H559" s="126"/>
    </row>
    <row r="560">
      <c r="C560" s="122"/>
      <c r="D560" s="123"/>
      <c r="E560" s="124"/>
      <c r="F560" s="124"/>
      <c r="G560" s="125"/>
      <c r="H560" s="126"/>
    </row>
    <row r="561">
      <c r="C561" s="122"/>
      <c r="D561" s="123"/>
      <c r="E561" s="124"/>
      <c r="F561" s="124"/>
      <c r="G561" s="125"/>
      <c r="H561" s="126"/>
    </row>
    <row r="562">
      <c r="C562" s="122"/>
      <c r="D562" s="123"/>
      <c r="E562" s="124"/>
      <c r="F562" s="124"/>
      <c r="G562" s="125"/>
      <c r="H562" s="126"/>
    </row>
    <row r="563">
      <c r="C563" s="122"/>
      <c r="D563" s="123"/>
      <c r="E563" s="124"/>
      <c r="F563" s="124"/>
      <c r="G563" s="125"/>
      <c r="H563" s="126"/>
    </row>
    <row r="564">
      <c r="C564" s="122"/>
      <c r="D564" s="123"/>
      <c r="E564" s="124"/>
      <c r="F564" s="124"/>
      <c r="G564" s="125"/>
      <c r="H564" s="126"/>
    </row>
    <row r="565">
      <c r="C565" s="122"/>
      <c r="D565" s="123"/>
      <c r="E565" s="124"/>
      <c r="F565" s="124"/>
      <c r="G565" s="125"/>
      <c r="H565" s="126"/>
    </row>
    <row r="566">
      <c r="C566" s="122"/>
      <c r="D566" s="123"/>
      <c r="E566" s="124"/>
      <c r="F566" s="124"/>
      <c r="G566" s="125"/>
      <c r="H566" s="126"/>
    </row>
    <row r="567">
      <c r="C567" s="122"/>
      <c r="D567" s="123"/>
      <c r="E567" s="124"/>
      <c r="F567" s="124"/>
      <c r="G567" s="125"/>
      <c r="H567" s="126"/>
    </row>
    <row r="568">
      <c r="C568" s="122"/>
      <c r="D568" s="123"/>
      <c r="E568" s="124"/>
      <c r="F568" s="124"/>
      <c r="G568" s="125"/>
      <c r="H568" s="126"/>
    </row>
    <row r="569">
      <c r="C569" s="122"/>
      <c r="D569" s="123"/>
      <c r="E569" s="124"/>
      <c r="F569" s="124"/>
      <c r="G569" s="125"/>
      <c r="H569" s="126"/>
    </row>
    <row r="570">
      <c r="C570" s="122"/>
      <c r="D570" s="123"/>
      <c r="E570" s="124"/>
      <c r="F570" s="124"/>
      <c r="G570" s="125"/>
      <c r="H570" s="126"/>
    </row>
    <row r="571">
      <c r="C571" s="122"/>
      <c r="D571" s="123"/>
      <c r="E571" s="124"/>
      <c r="F571" s="124"/>
      <c r="G571" s="125"/>
      <c r="H571" s="126"/>
    </row>
    <row r="572">
      <c r="C572" s="122"/>
      <c r="D572" s="123"/>
      <c r="E572" s="124"/>
      <c r="F572" s="124"/>
      <c r="G572" s="125"/>
      <c r="H572" s="126"/>
    </row>
    <row r="573">
      <c r="C573" s="122"/>
      <c r="D573" s="123"/>
      <c r="E573" s="124"/>
      <c r="F573" s="124"/>
      <c r="G573" s="125"/>
      <c r="H573" s="126"/>
    </row>
    <row r="574">
      <c r="C574" s="122"/>
      <c r="D574" s="123"/>
      <c r="E574" s="124"/>
      <c r="F574" s="124"/>
      <c r="G574" s="125"/>
      <c r="H574" s="126"/>
    </row>
    <row r="575">
      <c r="C575" s="122"/>
      <c r="D575" s="123"/>
      <c r="E575" s="124"/>
      <c r="F575" s="124"/>
      <c r="G575" s="125"/>
      <c r="H575" s="126"/>
    </row>
    <row r="576">
      <c r="C576" s="122"/>
      <c r="D576" s="123"/>
      <c r="E576" s="124"/>
      <c r="F576" s="124"/>
      <c r="G576" s="125"/>
      <c r="H576" s="126"/>
    </row>
    <row r="577">
      <c r="C577" s="122"/>
      <c r="D577" s="123"/>
      <c r="E577" s="124"/>
      <c r="F577" s="124"/>
      <c r="G577" s="125"/>
      <c r="H577" s="126"/>
    </row>
    <row r="578">
      <c r="C578" s="122"/>
      <c r="D578" s="123"/>
      <c r="E578" s="124"/>
      <c r="F578" s="124"/>
      <c r="G578" s="125"/>
      <c r="H578" s="126"/>
    </row>
    <row r="579">
      <c r="C579" s="122"/>
      <c r="D579" s="123"/>
      <c r="E579" s="124"/>
      <c r="F579" s="124"/>
      <c r="G579" s="125"/>
      <c r="H579" s="126"/>
    </row>
    <row r="580">
      <c r="C580" s="122"/>
      <c r="D580" s="123"/>
      <c r="E580" s="124"/>
      <c r="F580" s="124"/>
      <c r="G580" s="125"/>
      <c r="H580" s="126"/>
    </row>
    <row r="581">
      <c r="C581" s="122"/>
      <c r="D581" s="123"/>
      <c r="E581" s="124"/>
      <c r="F581" s="124"/>
      <c r="G581" s="125"/>
      <c r="H581" s="126"/>
    </row>
    <row r="582">
      <c r="C582" s="122"/>
      <c r="D582" s="123"/>
      <c r="E582" s="124"/>
      <c r="F582" s="124"/>
      <c r="G582" s="125"/>
      <c r="H582" s="126"/>
    </row>
    <row r="583">
      <c r="C583" s="122"/>
      <c r="D583" s="123"/>
      <c r="E583" s="124"/>
      <c r="F583" s="124"/>
      <c r="G583" s="125"/>
      <c r="H583" s="126"/>
    </row>
    <row r="584">
      <c r="C584" s="122"/>
      <c r="D584" s="123"/>
      <c r="E584" s="124"/>
      <c r="F584" s="124"/>
      <c r="G584" s="125"/>
      <c r="H584" s="126"/>
    </row>
    <row r="585">
      <c r="C585" s="122"/>
      <c r="D585" s="123"/>
      <c r="E585" s="124"/>
      <c r="F585" s="124"/>
      <c r="G585" s="125"/>
      <c r="H585" s="126"/>
    </row>
    <row r="586">
      <c r="C586" s="122"/>
      <c r="D586" s="123"/>
      <c r="E586" s="124"/>
      <c r="F586" s="124"/>
      <c r="G586" s="125"/>
      <c r="H586" s="126"/>
    </row>
    <row r="587">
      <c r="C587" s="122"/>
      <c r="D587" s="123"/>
      <c r="E587" s="124"/>
      <c r="F587" s="124"/>
      <c r="G587" s="125"/>
      <c r="H587" s="126"/>
    </row>
    <row r="588">
      <c r="C588" s="122"/>
      <c r="D588" s="123"/>
      <c r="E588" s="124"/>
      <c r="F588" s="124"/>
      <c r="G588" s="125"/>
      <c r="H588" s="126"/>
    </row>
    <row r="589">
      <c r="C589" s="122"/>
      <c r="D589" s="123"/>
      <c r="E589" s="124"/>
      <c r="F589" s="124"/>
      <c r="G589" s="125"/>
      <c r="H589" s="126"/>
    </row>
    <row r="590">
      <c r="C590" s="122"/>
      <c r="D590" s="123"/>
      <c r="E590" s="124"/>
      <c r="F590" s="124"/>
      <c r="G590" s="125"/>
      <c r="H590" s="126"/>
    </row>
    <row r="591">
      <c r="C591" s="122"/>
      <c r="D591" s="123"/>
      <c r="E591" s="124"/>
      <c r="F591" s="124"/>
      <c r="G591" s="125"/>
      <c r="H591" s="126"/>
    </row>
    <row r="592">
      <c r="C592" s="122"/>
      <c r="D592" s="123"/>
      <c r="E592" s="124"/>
      <c r="F592" s="124"/>
      <c r="G592" s="125"/>
      <c r="H592" s="126"/>
    </row>
    <row r="593">
      <c r="C593" s="122"/>
      <c r="D593" s="123"/>
      <c r="E593" s="124"/>
      <c r="F593" s="124"/>
      <c r="G593" s="125"/>
      <c r="H593" s="126"/>
    </row>
    <row r="594">
      <c r="C594" s="122"/>
      <c r="D594" s="123"/>
      <c r="E594" s="124"/>
      <c r="F594" s="124"/>
      <c r="G594" s="125"/>
      <c r="H594" s="126"/>
    </row>
    <row r="595">
      <c r="C595" s="122"/>
      <c r="D595" s="123"/>
      <c r="E595" s="124"/>
      <c r="F595" s="124"/>
      <c r="G595" s="125"/>
      <c r="H595" s="126"/>
    </row>
    <row r="596">
      <c r="C596" s="122"/>
      <c r="D596" s="123"/>
      <c r="E596" s="124"/>
      <c r="F596" s="124"/>
      <c r="G596" s="125"/>
      <c r="H596" s="126"/>
    </row>
    <row r="597">
      <c r="C597" s="122"/>
      <c r="D597" s="123"/>
      <c r="E597" s="124"/>
      <c r="F597" s="124"/>
      <c r="G597" s="125"/>
      <c r="H597" s="126"/>
    </row>
    <row r="598">
      <c r="C598" s="122"/>
      <c r="D598" s="123"/>
      <c r="E598" s="124"/>
      <c r="F598" s="124"/>
      <c r="G598" s="125"/>
      <c r="H598" s="126"/>
    </row>
    <row r="599">
      <c r="C599" s="122"/>
      <c r="D599" s="123"/>
      <c r="E599" s="124"/>
      <c r="F599" s="124"/>
      <c r="G599" s="125"/>
      <c r="H599" s="126"/>
    </row>
    <row r="600">
      <c r="C600" s="122"/>
      <c r="D600" s="123"/>
      <c r="E600" s="124"/>
      <c r="F600" s="124"/>
      <c r="G600" s="125"/>
      <c r="H600" s="126"/>
    </row>
    <row r="601">
      <c r="C601" s="122"/>
      <c r="D601" s="123"/>
      <c r="E601" s="124"/>
      <c r="F601" s="124"/>
      <c r="G601" s="125"/>
      <c r="H601" s="126"/>
    </row>
    <row r="602">
      <c r="C602" s="122"/>
      <c r="D602" s="123"/>
      <c r="E602" s="124"/>
      <c r="F602" s="124"/>
      <c r="G602" s="125"/>
      <c r="H602" s="126"/>
    </row>
    <row r="603">
      <c r="C603" s="122"/>
      <c r="D603" s="123"/>
      <c r="E603" s="124"/>
      <c r="F603" s="124"/>
      <c r="G603" s="125"/>
      <c r="H603" s="126"/>
    </row>
    <row r="604">
      <c r="C604" s="122"/>
      <c r="D604" s="123"/>
      <c r="E604" s="124"/>
      <c r="F604" s="124"/>
      <c r="G604" s="125"/>
      <c r="H604" s="126"/>
    </row>
    <row r="605">
      <c r="C605" s="122"/>
      <c r="D605" s="123"/>
      <c r="E605" s="124"/>
      <c r="F605" s="124"/>
      <c r="G605" s="125"/>
      <c r="H605" s="126"/>
    </row>
    <row r="606">
      <c r="C606" s="122"/>
      <c r="D606" s="123"/>
      <c r="E606" s="124"/>
      <c r="F606" s="124"/>
      <c r="G606" s="125"/>
      <c r="H606" s="126"/>
    </row>
    <row r="607">
      <c r="C607" s="122"/>
      <c r="D607" s="123"/>
      <c r="E607" s="124"/>
      <c r="F607" s="124"/>
      <c r="G607" s="125"/>
      <c r="H607" s="126"/>
    </row>
    <row r="608">
      <c r="C608" s="122"/>
      <c r="D608" s="123"/>
      <c r="E608" s="124"/>
      <c r="F608" s="124"/>
      <c r="G608" s="125"/>
      <c r="H608" s="126"/>
    </row>
    <row r="609">
      <c r="C609" s="122"/>
      <c r="D609" s="123"/>
      <c r="E609" s="124"/>
      <c r="F609" s="124"/>
      <c r="G609" s="125"/>
      <c r="H609" s="126"/>
    </row>
    <row r="610">
      <c r="C610" s="122"/>
      <c r="D610" s="123"/>
      <c r="E610" s="124"/>
      <c r="F610" s="124"/>
      <c r="G610" s="125"/>
      <c r="H610" s="126"/>
    </row>
    <row r="611">
      <c r="C611" s="122"/>
      <c r="D611" s="123"/>
      <c r="E611" s="124"/>
      <c r="F611" s="124"/>
      <c r="G611" s="125"/>
      <c r="H611" s="126"/>
    </row>
    <row r="612">
      <c r="C612" s="122"/>
      <c r="D612" s="123"/>
      <c r="E612" s="124"/>
      <c r="F612" s="124"/>
      <c r="G612" s="125"/>
      <c r="H612" s="126"/>
    </row>
    <row r="613">
      <c r="C613" s="122"/>
      <c r="D613" s="123"/>
      <c r="E613" s="124"/>
      <c r="F613" s="124"/>
      <c r="G613" s="125"/>
      <c r="H613" s="126"/>
    </row>
    <row r="614">
      <c r="C614" s="122"/>
      <c r="D614" s="123"/>
      <c r="E614" s="124"/>
      <c r="F614" s="124"/>
      <c r="G614" s="125"/>
      <c r="H614" s="126"/>
    </row>
    <row r="615">
      <c r="C615" s="122"/>
      <c r="D615" s="123"/>
      <c r="E615" s="124"/>
      <c r="F615" s="124"/>
      <c r="G615" s="125"/>
      <c r="H615" s="126"/>
    </row>
    <row r="616">
      <c r="C616" s="122"/>
      <c r="D616" s="123"/>
      <c r="E616" s="124"/>
      <c r="F616" s="124"/>
      <c r="G616" s="125"/>
      <c r="H616" s="126"/>
    </row>
    <row r="617">
      <c r="C617" s="122"/>
      <c r="D617" s="123"/>
      <c r="E617" s="124"/>
      <c r="F617" s="124"/>
      <c r="G617" s="125"/>
      <c r="H617" s="126"/>
    </row>
    <row r="618">
      <c r="C618" s="122"/>
      <c r="D618" s="123"/>
      <c r="E618" s="124"/>
      <c r="F618" s="124"/>
      <c r="G618" s="125"/>
      <c r="H618" s="126"/>
    </row>
    <row r="619">
      <c r="C619" s="122"/>
      <c r="D619" s="123"/>
      <c r="E619" s="124"/>
      <c r="F619" s="124"/>
      <c r="G619" s="125"/>
      <c r="H619" s="126"/>
    </row>
    <row r="620">
      <c r="C620" s="122"/>
      <c r="D620" s="123"/>
      <c r="E620" s="124"/>
      <c r="F620" s="124"/>
      <c r="G620" s="125"/>
      <c r="H620" s="126"/>
    </row>
    <row r="621">
      <c r="C621" s="122"/>
      <c r="D621" s="123"/>
      <c r="E621" s="124"/>
      <c r="F621" s="124"/>
      <c r="G621" s="125"/>
      <c r="H621" s="126"/>
    </row>
    <row r="622">
      <c r="C622" s="122"/>
      <c r="D622" s="123"/>
      <c r="E622" s="124"/>
      <c r="F622" s="124"/>
      <c r="G622" s="125"/>
      <c r="H622" s="126"/>
    </row>
    <row r="623">
      <c r="C623" s="122"/>
      <c r="D623" s="123"/>
      <c r="E623" s="124"/>
      <c r="F623" s="124"/>
      <c r="G623" s="125"/>
      <c r="H623" s="126"/>
    </row>
    <row r="624">
      <c r="C624" s="122"/>
      <c r="D624" s="123"/>
      <c r="E624" s="124"/>
      <c r="F624" s="124"/>
      <c r="G624" s="125"/>
      <c r="H624" s="126"/>
    </row>
    <row r="625">
      <c r="C625" s="122"/>
      <c r="D625" s="123"/>
      <c r="E625" s="124"/>
      <c r="F625" s="124"/>
      <c r="G625" s="125"/>
      <c r="H625" s="126"/>
    </row>
    <row r="626">
      <c r="C626" s="122"/>
      <c r="D626" s="123"/>
      <c r="E626" s="124"/>
      <c r="F626" s="124"/>
      <c r="G626" s="125"/>
      <c r="H626" s="126"/>
    </row>
    <row r="627">
      <c r="C627" s="122"/>
      <c r="D627" s="123"/>
      <c r="E627" s="124"/>
      <c r="F627" s="124"/>
      <c r="G627" s="125"/>
      <c r="H627" s="126"/>
    </row>
    <row r="628">
      <c r="C628" s="122"/>
      <c r="D628" s="123"/>
      <c r="E628" s="124"/>
      <c r="F628" s="124"/>
      <c r="G628" s="125"/>
      <c r="H628" s="126"/>
    </row>
    <row r="629">
      <c r="C629" s="122"/>
      <c r="D629" s="123"/>
      <c r="E629" s="124"/>
      <c r="F629" s="124"/>
      <c r="G629" s="125"/>
      <c r="H629" s="126"/>
    </row>
    <row r="630">
      <c r="C630" s="122"/>
      <c r="D630" s="123"/>
      <c r="E630" s="124"/>
      <c r="F630" s="124"/>
      <c r="G630" s="125"/>
      <c r="H630" s="126"/>
    </row>
    <row r="631">
      <c r="C631" s="122"/>
      <c r="D631" s="123"/>
      <c r="E631" s="124"/>
      <c r="F631" s="124"/>
      <c r="G631" s="125"/>
      <c r="H631" s="126"/>
    </row>
    <row r="632">
      <c r="C632" s="122"/>
      <c r="D632" s="123"/>
      <c r="E632" s="124"/>
      <c r="F632" s="124"/>
      <c r="G632" s="125"/>
      <c r="H632" s="126"/>
    </row>
    <row r="633">
      <c r="C633" s="122"/>
      <c r="D633" s="123"/>
      <c r="E633" s="124"/>
      <c r="F633" s="124"/>
      <c r="G633" s="125"/>
      <c r="H633" s="126"/>
    </row>
    <row r="634">
      <c r="C634" s="122"/>
      <c r="D634" s="123"/>
      <c r="E634" s="124"/>
      <c r="F634" s="124"/>
      <c r="G634" s="125"/>
      <c r="H634" s="126"/>
    </row>
    <row r="635">
      <c r="C635" s="122"/>
      <c r="D635" s="123"/>
      <c r="E635" s="124"/>
      <c r="F635" s="124"/>
      <c r="G635" s="125"/>
      <c r="H635" s="126"/>
    </row>
    <row r="636">
      <c r="C636" s="122"/>
      <c r="D636" s="123"/>
      <c r="E636" s="124"/>
      <c r="F636" s="124"/>
      <c r="G636" s="125"/>
      <c r="H636" s="126"/>
    </row>
    <row r="637">
      <c r="C637" s="122"/>
      <c r="D637" s="123"/>
      <c r="E637" s="124"/>
      <c r="F637" s="124"/>
      <c r="G637" s="125"/>
      <c r="H637" s="126"/>
    </row>
    <row r="638">
      <c r="C638" s="122"/>
      <c r="D638" s="123"/>
      <c r="E638" s="124"/>
      <c r="F638" s="124"/>
      <c r="G638" s="125"/>
      <c r="H638" s="126"/>
    </row>
    <row r="639">
      <c r="C639" s="122"/>
      <c r="D639" s="123"/>
      <c r="E639" s="124"/>
      <c r="F639" s="124"/>
      <c r="G639" s="125"/>
      <c r="H639" s="126"/>
    </row>
    <row r="640">
      <c r="C640" s="122"/>
      <c r="D640" s="123"/>
      <c r="E640" s="124"/>
      <c r="F640" s="124"/>
      <c r="G640" s="125"/>
      <c r="H640" s="126"/>
    </row>
    <row r="641">
      <c r="C641" s="122"/>
      <c r="D641" s="123"/>
      <c r="E641" s="124"/>
      <c r="F641" s="124"/>
      <c r="G641" s="125"/>
      <c r="H641" s="126"/>
    </row>
    <row r="642">
      <c r="C642" s="122"/>
      <c r="D642" s="123"/>
      <c r="E642" s="124"/>
      <c r="F642" s="124"/>
      <c r="G642" s="125"/>
      <c r="H642" s="126"/>
    </row>
    <row r="643">
      <c r="C643" s="122"/>
      <c r="D643" s="123"/>
      <c r="E643" s="124"/>
      <c r="F643" s="124"/>
      <c r="G643" s="125"/>
      <c r="H643" s="126"/>
    </row>
    <row r="644">
      <c r="C644" s="122"/>
      <c r="D644" s="123"/>
      <c r="E644" s="124"/>
      <c r="F644" s="124"/>
      <c r="G644" s="125"/>
      <c r="H644" s="126"/>
    </row>
    <row r="645">
      <c r="C645" s="122"/>
      <c r="D645" s="123"/>
      <c r="E645" s="124"/>
      <c r="F645" s="124"/>
      <c r="G645" s="125"/>
      <c r="H645" s="126"/>
    </row>
    <row r="646">
      <c r="C646" s="122"/>
      <c r="D646" s="123"/>
      <c r="E646" s="124"/>
      <c r="F646" s="124"/>
      <c r="G646" s="125"/>
      <c r="H646" s="126"/>
    </row>
    <row r="647">
      <c r="C647" s="122"/>
      <c r="D647" s="123"/>
      <c r="E647" s="124"/>
      <c r="F647" s="124"/>
      <c r="G647" s="125"/>
      <c r="H647" s="126"/>
    </row>
    <row r="648">
      <c r="C648" s="122"/>
      <c r="D648" s="123"/>
      <c r="E648" s="124"/>
      <c r="F648" s="124"/>
      <c r="G648" s="125"/>
      <c r="H648" s="126"/>
    </row>
    <row r="649">
      <c r="C649" s="122"/>
      <c r="D649" s="123"/>
      <c r="E649" s="124"/>
      <c r="F649" s="124"/>
      <c r="G649" s="125"/>
      <c r="H649" s="126"/>
    </row>
    <row r="650">
      <c r="C650" s="122"/>
      <c r="D650" s="123"/>
      <c r="E650" s="124"/>
      <c r="F650" s="124"/>
      <c r="G650" s="125"/>
      <c r="H650" s="126"/>
    </row>
    <row r="651">
      <c r="C651" s="122"/>
      <c r="D651" s="123"/>
      <c r="E651" s="124"/>
      <c r="F651" s="124"/>
      <c r="G651" s="125"/>
      <c r="H651" s="126"/>
    </row>
    <row r="652">
      <c r="C652" s="122"/>
      <c r="D652" s="123"/>
      <c r="E652" s="124"/>
      <c r="F652" s="124"/>
      <c r="G652" s="125"/>
      <c r="H652" s="126"/>
    </row>
    <row r="653">
      <c r="C653" s="122"/>
      <c r="D653" s="123"/>
      <c r="E653" s="124"/>
      <c r="F653" s="124"/>
      <c r="G653" s="125"/>
      <c r="H653" s="126"/>
    </row>
    <row r="654">
      <c r="C654" s="122"/>
      <c r="D654" s="123"/>
      <c r="E654" s="124"/>
      <c r="F654" s="124"/>
      <c r="G654" s="125"/>
      <c r="H654" s="126"/>
    </row>
    <row r="655">
      <c r="C655" s="122"/>
      <c r="D655" s="123"/>
      <c r="E655" s="124"/>
      <c r="F655" s="124"/>
      <c r="G655" s="125"/>
      <c r="H655" s="126"/>
    </row>
    <row r="656">
      <c r="C656" s="122"/>
      <c r="D656" s="123"/>
      <c r="E656" s="124"/>
      <c r="F656" s="124"/>
      <c r="G656" s="125"/>
      <c r="H656" s="126"/>
    </row>
    <row r="657">
      <c r="C657" s="122"/>
      <c r="D657" s="123"/>
      <c r="E657" s="124"/>
      <c r="F657" s="124"/>
      <c r="G657" s="125"/>
      <c r="H657" s="126"/>
    </row>
    <row r="658">
      <c r="C658" s="122"/>
      <c r="D658" s="123"/>
      <c r="E658" s="124"/>
      <c r="F658" s="124"/>
      <c r="G658" s="125"/>
      <c r="H658" s="126"/>
    </row>
    <row r="659">
      <c r="C659" s="122"/>
      <c r="D659" s="123"/>
      <c r="E659" s="124"/>
      <c r="F659" s="124"/>
      <c r="G659" s="125"/>
      <c r="H659" s="126"/>
    </row>
    <row r="660">
      <c r="C660" s="122"/>
      <c r="D660" s="123"/>
      <c r="E660" s="124"/>
      <c r="F660" s="124"/>
      <c r="G660" s="125"/>
      <c r="H660" s="126"/>
    </row>
    <row r="661">
      <c r="C661" s="122"/>
      <c r="D661" s="123"/>
      <c r="E661" s="124"/>
      <c r="F661" s="124"/>
      <c r="G661" s="125"/>
      <c r="H661" s="126"/>
    </row>
    <row r="662">
      <c r="C662" s="122"/>
      <c r="D662" s="123"/>
      <c r="E662" s="124"/>
      <c r="F662" s="124"/>
      <c r="G662" s="125"/>
      <c r="H662" s="126"/>
    </row>
    <row r="663">
      <c r="C663" s="122"/>
      <c r="D663" s="123"/>
      <c r="E663" s="124"/>
      <c r="F663" s="124"/>
      <c r="G663" s="125"/>
      <c r="H663" s="126"/>
    </row>
    <row r="664">
      <c r="C664" s="122"/>
      <c r="D664" s="123"/>
      <c r="E664" s="124"/>
      <c r="F664" s="124"/>
      <c r="G664" s="125"/>
      <c r="H664" s="126"/>
    </row>
    <row r="665">
      <c r="C665" s="122"/>
      <c r="D665" s="123"/>
      <c r="E665" s="124"/>
      <c r="F665" s="124"/>
      <c r="G665" s="125"/>
      <c r="H665" s="126"/>
    </row>
    <row r="666">
      <c r="C666" s="122"/>
      <c r="D666" s="123"/>
      <c r="E666" s="124"/>
      <c r="F666" s="124"/>
      <c r="G666" s="125"/>
      <c r="H666" s="126"/>
    </row>
    <row r="667">
      <c r="C667" s="122"/>
      <c r="D667" s="123"/>
      <c r="E667" s="124"/>
      <c r="F667" s="124"/>
      <c r="G667" s="125"/>
      <c r="H667" s="126"/>
    </row>
    <row r="668">
      <c r="C668" s="122"/>
      <c r="D668" s="123"/>
      <c r="E668" s="124"/>
      <c r="F668" s="124"/>
      <c r="G668" s="125"/>
      <c r="H668" s="126"/>
    </row>
    <row r="669">
      <c r="C669" s="122"/>
      <c r="D669" s="123"/>
      <c r="E669" s="124"/>
      <c r="F669" s="124"/>
      <c r="G669" s="125"/>
      <c r="H669" s="126"/>
    </row>
    <row r="670">
      <c r="C670" s="122"/>
      <c r="D670" s="123"/>
      <c r="E670" s="124"/>
      <c r="F670" s="124"/>
      <c r="G670" s="125"/>
      <c r="H670" s="126"/>
    </row>
    <row r="671">
      <c r="C671" s="122"/>
      <c r="D671" s="123"/>
      <c r="E671" s="124"/>
      <c r="F671" s="124"/>
      <c r="G671" s="125"/>
      <c r="H671" s="126"/>
    </row>
    <row r="672">
      <c r="C672" s="122"/>
      <c r="D672" s="123"/>
      <c r="E672" s="124"/>
      <c r="F672" s="124"/>
      <c r="G672" s="125"/>
      <c r="H672" s="126"/>
    </row>
    <row r="673">
      <c r="C673" s="122"/>
      <c r="D673" s="123"/>
      <c r="E673" s="124"/>
      <c r="F673" s="124"/>
      <c r="G673" s="125"/>
      <c r="H673" s="126"/>
    </row>
    <row r="674">
      <c r="C674" s="122"/>
      <c r="D674" s="123"/>
      <c r="E674" s="124"/>
      <c r="F674" s="124"/>
      <c r="G674" s="125"/>
      <c r="H674" s="126"/>
    </row>
    <row r="675">
      <c r="C675" s="122"/>
      <c r="D675" s="123"/>
      <c r="E675" s="124"/>
      <c r="F675" s="124"/>
      <c r="G675" s="125"/>
      <c r="H675" s="126"/>
    </row>
    <row r="676">
      <c r="C676" s="122"/>
      <c r="D676" s="123"/>
      <c r="E676" s="124"/>
      <c r="F676" s="124"/>
      <c r="G676" s="125"/>
      <c r="H676" s="126"/>
    </row>
    <row r="677">
      <c r="C677" s="122"/>
      <c r="D677" s="123"/>
      <c r="E677" s="124"/>
      <c r="F677" s="124"/>
      <c r="G677" s="125"/>
      <c r="H677" s="126"/>
    </row>
    <row r="678">
      <c r="C678" s="122"/>
      <c r="D678" s="123"/>
      <c r="E678" s="124"/>
      <c r="F678" s="124"/>
      <c r="G678" s="125"/>
      <c r="H678" s="126"/>
    </row>
    <row r="679">
      <c r="C679" s="122"/>
      <c r="D679" s="123"/>
      <c r="E679" s="124"/>
      <c r="F679" s="124"/>
      <c r="G679" s="125"/>
      <c r="H679" s="126"/>
    </row>
    <row r="680">
      <c r="C680" s="122"/>
      <c r="D680" s="123"/>
      <c r="E680" s="124"/>
      <c r="F680" s="124"/>
      <c r="G680" s="125"/>
      <c r="H680" s="126"/>
    </row>
    <row r="681">
      <c r="C681" s="122"/>
      <c r="D681" s="123"/>
      <c r="E681" s="124"/>
      <c r="F681" s="124"/>
      <c r="G681" s="125"/>
      <c r="H681" s="126"/>
    </row>
    <row r="682">
      <c r="C682" s="122"/>
      <c r="D682" s="123"/>
      <c r="E682" s="124"/>
      <c r="F682" s="124"/>
      <c r="G682" s="125"/>
      <c r="H682" s="126"/>
    </row>
    <row r="683">
      <c r="C683" s="122"/>
      <c r="D683" s="123"/>
      <c r="E683" s="124"/>
      <c r="F683" s="124"/>
      <c r="G683" s="125"/>
      <c r="H683" s="126"/>
    </row>
    <row r="684">
      <c r="C684" s="122"/>
      <c r="D684" s="123"/>
      <c r="E684" s="124"/>
      <c r="F684" s="124"/>
      <c r="G684" s="125"/>
      <c r="H684" s="126"/>
    </row>
    <row r="685">
      <c r="C685" s="122"/>
      <c r="D685" s="123"/>
      <c r="E685" s="124"/>
      <c r="F685" s="124"/>
      <c r="G685" s="125"/>
      <c r="H685" s="126"/>
    </row>
    <row r="686">
      <c r="C686" s="122"/>
      <c r="D686" s="123"/>
      <c r="E686" s="124"/>
      <c r="F686" s="124"/>
      <c r="G686" s="125"/>
      <c r="H686" s="126"/>
    </row>
    <row r="687">
      <c r="C687" s="122"/>
      <c r="D687" s="123"/>
      <c r="E687" s="124"/>
      <c r="F687" s="124"/>
      <c r="G687" s="125"/>
      <c r="H687" s="126"/>
    </row>
    <row r="688">
      <c r="C688" s="122"/>
      <c r="D688" s="123"/>
      <c r="E688" s="124"/>
      <c r="F688" s="124"/>
      <c r="G688" s="125"/>
      <c r="H688" s="126"/>
    </row>
    <row r="689">
      <c r="C689" s="122"/>
      <c r="D689" s="123"/>
      <c r="E689" s="124"/>
      <c r="F689" s="124"/>
      <c r="G689" s="125"/>
      <c r="H689" s="126"/>
    </row>
    <row r="690">
      <c r="C690" s="122"/>
      <c r="D690" s="123"/>
      <c r="E690" s="124"/>
      <c r="F690" s="124"/>
      <c r="G690" s="125"/>
      <c r="H690" s="126"/>
    </row>
    <row r="691">
      <c r="C691" s="122"/>
      <c r="D691" s="123"/>
      <c r="E691" s="124"/>
      <c r="F691" s="124"/>
      <c r="G691" s="125"/>
      <c r="H691" s="126"/>
    </row>
    <row r="692">
      <c r="C692" s="122"/>
      <c r="D692" s="123"/>
      <c r="E692" s="124"/>
      <c r="F692" s="124"/>
      <c r="G692" s="125"/>
      <c r="H692" s="126"/>
    </row>
    <row r="693">
      <c r="C693" s="122"/>
      <c r="D693" s="123"/>
      <c r="E693" s="124"/>
      <c r="F693" s="124"/>
      <c r="G693" s="125"/>
      <c r="H693" s="126"/>
    </row>
    <row r="694">
      <c r="C694" s="122"/>
      <c r="D694" s="123"/>
      <c r="E694" s="124"/>
      <c r="F694" s="124"/>
      <c r="G694" s="125"/>
      <c r="H694" s="126"/>
    </row>
    <row r="695">
      <c r="C695" s="122"/>
      <c r="D695" s="123"/>
      <c r="E695" s="124"/>
      <c r="F695" s="124"/>
      <c r="G695" s="125"/>
      <c r="H695" s="126"/>
    </row>
    <row r="696">
      <c r="C696" s="122"/>
      <c r="D696" s="123"/>
      <c r="E696" s="124"/>
      <c r="F696" s="124"/>
      <c r="G696" s="125"/>
      <c r="H696" s="126"/>
    </row>
    <row r="697">
      <c r="C697" s="122"/>
      <c r="D697" s="123"/>
      <c r="E697" s="124"/>
      <c r="F697" s="124"/>
      <c r="G697" s="125"/>
      <c r="H697" s="126"/>
    </row>
    <row r="698">
      <c r="C698" s="122"/>
      <c r="D698" s="123"/>
      <c r="E698" s="124"/>
      <c r="F698" s="124"/>
      <c r="G698" s="125"/>
      <c r="H698" s="126"/>
    </row>
    <row r="699">
      <c r="C699" s="122"/>
      <c r="D699" s="123"/>
      <c r="E699" s="124"/>
      <c r="F699" s="124"/>
      <c r="G699" s="125"/>
      <c r="H699" s="126"/>
    </row>
    <row r="700">
      <c r="C700" s="122"/>
      <c r="D700" s="123"/>
      <c r="E700" s="124"/>
      <c r="F700" s="124"/>
      <c r="G700" s="125"/>
      <c r="H700" s="126"/>
    </row>
    <row r="701">
      <c r="C701" s="122"/>
      <c r="D701" s="123"/>
      <c r="E701" s="124"/>
      <c r="F701" s="124"/>
      <c r="G701" s="125"/>
      <c r="H701" s="126"/>
    </row>
    <row r="702">
      <c r="C702" s="122"/>
      <c r="D702" s="123"/>
      <c r="E702" s="124"/>
      <c r="F702" s="124"/>
      <c r="G702" s="125"/>
      <c r="H702" s="126"/>
    </row>
    <row r="703">
      <c r="C703" s="122"/>
      <c r="D703" s="123"/>
      <c r="E703" s="124"/>
      <c r="F703" s="124"/>
      <c r="G703" s="125"/>
      <c r="H703" s="126"/>
    </row>
    <row r="704">
      <c r="C704" s="122"/>
      <c r="D704" s="123"/>
      <c r="E704" s="124"/>
      <c r="F704" s="124"/>
      <c r="G704" s="125"/>
      <c r="H704" s="126"/>
    </row>
    <row r="705">
      <c r="C705" s="122"/>
      <c r="D705" s="123"/>
      <c r="E705" s="124"/>
      <c r="F705" s="124"/>
      <c r="G705" s="125"/>
      <c r="H705" s="126"/>
    </row>
    <row r="706">
      <c r="C706" s="122"/>
      <c r="D706" s="123"/>
      <c r="E706" s="124"/>
      <c r="F706" s="124"/>
      <c r="G706" s="125"/>
      <c r="H706" s="126"/>
    </row>
    <row r="707">
      <c r="C707" s="122"/>
      <c r="D707" s="123"/>
      <c r="E707" s="124"/>
      <c r="F707" s="124"/>
      <c r="G707" s="125"/>
      <c r="H707" s="126"/>
    </row>
    <row r="708">
      <c r="C708" s="122"/>
      <c r="D708" s="123"/>
      <c r="E708" s="124"/>
      <c r="F708" s="124"/>
      <c r="G708" s="125"/>
      <c r="H708" s="126"/>
    </row>
    <row r="709">
      <c r="C709" s="122"/>
      <c r="D709" s="123"/>
      <c r="E709" s="124"/>
      <c r="F709" s="124"/>
      <c r="G709" s="125"/>
      <c r="H709" s="126"/>
    </row>
    <row r="710">
      <c r="C710" s="122"/>
      <c r="D710" s="123"/>
      <c r="E710" s="124"/>
      <c r="F710" s="124"/>
      <c r="G710" s="125"/>
      <c r="H710" s="126"/>
    </row>
    <row r="711">
      <c r="C711" s="122"/>
      <c r="D711" s="123"/>
      <c r="E711" s="124"/>
      <c r="F711" s="124"/>
      <c r="G711" s="125"/>
      <c r="H711" s="126"/>
    </row>
    <row r="712">
      <c r="C712" s="122"/>
      <c r="D712" s="123"/>
      <c r="E712" s="124"/>
      <c r="F712" s="124"/>
      <c r="G712" s="125"/>
      <c r="H712" s="126"/>
    </row>
    <row r="713">
      <c r="C713" s="122"/>
      <c r="D713" s="123"/>
      <c r="E713" s="124"/>
      <c r="F713" s="124"/>
      <c r="G713" s="125"/>
      <c r="H713" s="126"/>
    </row>
    <row r="714">
      <c r="C714" s="122"/>
      <c r="D714" s="123"/>
      <c r="E714" s="124"/>
      <c r="F714" s="124"/>
      <c r="G714" s="125"/>
      <c r="H714" s="126"/>
    </row>
    <row r="715">
      <c r="C715" s="122"/>
      <c r="D715" s="123"/>
      <c r="E715" s="124"/>
      <c r="F715" s="124"/>
      <c r="G715" s="125"/>
      <c r="H715" s="126"/>
    </row>
    <row r="716">
      <c r="C716" s="122"/>
      <c r="D716" s="123"/>
      <c r="E716" s="124"/>
      <c r="F716" s="124"/>
      <c r="G716" s="125"/>
      <c r="H716" s="126"/>
    </row>
    <row r="717">
      <c r="C717" s="122"/>
      <c r="D717" s="123"/>
      <c r="E717" s="124"/>
      <c r="F717" s="124"/>
      <c r="G717" s="125"/>
      <c r="H717" s="126"/>
    </row>
    <row r="718">
      <c r="C718" s="122"/>
      <c r="D718" s="123"/>
      <c r="E718" s="124"/>
      <c r="F718" s="124"/>
      <c r="G718" s="125"/>
      <c r="H718" s="126"/>
    </row>
    <row r="719">
      <c r="C719" s="122"/>
      <c r="D719" s="123"/>
      <c r="E719" s="124"/>
      <c r="F719" s="124"/>
      <c r="G719" s="125"/>
      <c r="H719" s="126"/>
    </row>
    <row r="720">
      <c r="C720" s="122"/>
      <c r="D720" s="123"/>
      <c r="E720" s="124"/>
      <c r="F720" s="124"/>
      <c r="G720" s="125"/>
      <c r="H720" s="126"/>
    </row>
    <row r="721">
      <c r="C721" s="122"/>
      <c r="D721" s="123"/>
      <c r="E721" s="124"/>
      <c r="F721" s="124"/>
      <c r="G721" s="125"/>
      <c r="H721" s="126"/>
    </row>
    <row r="722">
      <c r="C722" s="122"/>
      <c r="D722" s="123"/>
      <c r="E722" s="124"/>
      <c r="F722" s="124"/>
      <c r="G722" s="125"/>
      <c r="H722" s="126"/>
    </row>
    <row r="723">
      <c r="C723" s="122"/>
      <c r="D723" s="123"/>
      <c r="E723" s="124"/>
      <c r="F723" s="124"/>
      <c r="G723" s="125"/>
      <c r="H723" s="126"/>
    </row>
    <row r="724">
      <c r="C724" s="122"/>
      <c r="D724" s="123"/>
      <c r="E724" s="124"/>
      <c r="F724" s="124"/>
      <c r="G724" s="125"/>
      <c r="H724" s="126"/>
    </row>
    <row r="725">
      <c r="C725" s="122"/>
      <c r="D725" s="123"/>
      <c r="E725" s="124"/>
      <c r="F725" s="124"/>
      <c r="G725" s="125"/>
      <c r="H725" s="126"/>
    </row>
    <row r="726">
      <c r="C726" s="122"/>
      <c r="D726" s="123"/>
      <c r="E726" s="124"/>
      <c r="F726" s="124"/>
      <c r="G726" s="125"/>
      <c r="H726" s="126"/>
    </row>
    <row r="727">
      <c r="C727" s="122"/>
      <c r="D727" s="123"/>
      <c r="E727" s="124"/>
      <c r="F727" s="124"/>
      <c r="G727" s="125"/>
      <c r="H727" s="126"/>
    </row>
    <row r="728">
      <c r="C728" s="122"/>
      <c r="D728" s="123"/>
      <c r="E728" s="124"/>
      <c r="F728" s="124"/>
      <c r="G728" s="125"/>
      <c r="H728" s="126"/>
    </row>
    <row r="729">
      <c r="C729" s="122"/>
      <c r="D729" s="123"/>
      <c r="E729" s="124"/>
      <c r="F729" s="124"/>
      <c r="G729" s="125"/>
      <c r="H729" s="126"/>
    </row>
    <row r="730">
      <c r="C730" s="122"/>
      <c r="D730" s="123"/>
      <c r="E730" s="124"/>
      <c r="F730" s="124"/>
      <c r="G730" s="125"/>
      <c r="H730" s="126"/>
    </row>
    <row r="731">
      <c r="C731" s="122"/>
      <c r="D731" s="123"/>
      <c r="E731" s="124"/>
      <c r="F731" s="124"/>
      <c r="G731" s="125"/>
      <c r="H731" s="126"/>
    </row>
    <row r="732">
      <c r="C732" s="122"/>
      <c r="D732" s="123"/>
      <c r="E732" s="124"/>
      <c r="F732" s="124"/>
      <c r="G732" s="125"/>
      <c r="H732" s="126"/>
    </row>
    <row r="733">
      <c r="C733" s="122"/>
      <c r="D733" s="123"/>
      <c r="E733" s="124"/>
      <c r="F733" s="124"/>
      <c r="G733" s="125"/>
      <c r="H733" s="126"/>
    </row>
    <row r="734">
      <c r="C734" s="122"/>
      <c r="D734" s="123"/>
      <c r="E734" s="124"/>
      <c r="F734" s="124"/>
      <c r="G734" s="125"/>
      <c r="H734" s="126"/>
    </row>
    <row r="735">
      <c r="C735" s="122"/>
      <c r="D735" s="123"/>
      <c r="E735" s="124"/>
      <c r="F735" s="124"/>
      <c r="G735" s="125"/>
      <c r="H735" s="126"/>
    </row>
    <row r="736">
      <c r="C736" s="122"/>
      <c r="D736" s="123"/>
      <c r="E736" s="124"/>
      <c r="F736" s="124"/>
      <c r="G736" s="125"/>
      <c r="H736" s="126"/>
    </row>
    <row r="737">
      <c r="C737" s="122"/>
      <c r="D737" s="123"/>
      <c r="E737" s="124"/>
      <c r="F737" s="124"/>
      <c r="G737" s="125"/>
      <c r="H737" s="126"/>
    </row>
    <row r="738">
      <c r="C738" s="122"/>
      <c r="D738" s="123"/>
      <c r="E738" s="124"/>
      <c r="F738" s="124"/>
      <c r="G738" s="125"/>
      <c r="H738" s="126"/>
    </row>
    <row r="739">
      <c r="C739" s="122"/>
      <c r="D739" s="123"/>
      <c r="E739" s="124"/>
      <c r="F739" s="124"/>
      <c r="G739" s="125"/>
      <c r="H739" s="126"/>
    </row>
    <row r="740">
      <c r="C740" s="122"/>
      <c r="D740" s="123"/>
      <c r="E740" s="124"/>
      <c r="F740" s="124"/>
      <c r="G740" s="125"/>
      <c r="H740" s="126"/>
    </row>
    <row r="741">
      <c r="C741" s="122"/>
      <c r="D741" s="123"/>
      <c r="E741" s="124"/>
      <c r="F741" s="124"/>
      <c r="G741" s="125"/>
      <c r="H741" s="126"/>
    </row>
    <row r="742">
      <c r="C742" s="122"/>
      <c r="D742" s="123"/>
      <c r="E742" s="124"/>
      <c r="F742" s="124"/>
      <c r="G742" s="125"/>
      <c r="H742" s="126"/>
    </row>
    <row r="743">
      <c r="C743" s="122"/>
      <c r="D743" s="123"/>
      <c r="E743" s="124"/>
      <c r="F743" s="124"/>
      <c r="G743" s="125"/>
      <c r="H743" s="126"/>
    </row>
    <row r="744">
      <c r="C744" s="122"/>
      <c r="D744" s="123"/>
      <c r="E744" s="124"/>
      <c r="F744" s="124"/>
      <c r="G744" s="125"/>
      <c r="H744" s="126"/>
    </row>
    <row r="745">
      <c r="C745" s="122"/>
      <c r="D745" s="123"/>
      <c r="E745" s="124"/>
      <c r="F745" s="124"/>
      <c r="G745" s="125"/>
      <c r="H745" s="126"/>
    </row>
    <row r="746">
      <c r="C746" s="122"/>
      <c r="D746" s="123"/>
      <c r="E746" s="124"/>
      <c r="F746" s="124"/>
      <c r="G746" s="125"/>
      <c r="H746" s="126"/>
    </row>
    <row r="747">
      <c r="C747" s="122"/>
      <c r="D747" s="123"/>
      <c r="E747" s="124"/>
      <c r="F747" s="124"/>
      <c r="G747" s="125"/>
      <c r="H747" s="126"/>
    </row>
    <row r="748">
      <c r="C748" s="122"/>
      <c r="D748" s="123"/>
      <c r="E748" s="124"/>
      <c r="F748" s="124"/>
      <c r="G748" s="125"/>
      <c r="H748" s="126"/>
    </row>
    <row r="749">
      <c r="C749" s="122"/>
      <c r="D749" s="123"/>
      <c r="E749" s="124"/>
      <c r="F749" s="124"/>
      <c r="G749" s="125"/>
      <c r="H749" s="126"/>
    </row>
    <row r="750">
      <c r="C750" s="122"/>
      <c r="D750" s="123"/>
      <c r="E750" s="124"/>
      <c r="F750" s="124"/>
      <c r="G750" s="125"/>
      <c r="H750" s="126"/>
    </row>
    <row r="751">
      <c r="C751" s="122"/>
      <c r="D751" s="123"/>
      <c r="E751" s="124"/>
      <c r="F751" s="124"/>
      <c r="G751" s="125"/>
      <c r="H751" s="126"/>
    </row>
    <row r="752">
      <c r="C752" s="122"/>
      <c r="D752" s="123"/>
      <c r="E752" s="124"/>
      <c r="F752" s="124"/>
      <c r="G752" s="125"/>
      <c r="H752" s="126"/>
    </row>
    <row r="753">
      <c r="C753" s="122"/>
      <c r="D753" s="123"/>
      <c r="E753" s="124"/>
      <c r="F753" s="124"/>
      <c r="G753" s="125"/>
      <c r="H753" s="126"/>
    </row>
    <row r="754">
      <c r="C754" s="122"/>
      <c r="D754" s="123"/>
      <c r="E754" s="124"/>
      <c r="F754" s="124"/>
      <c r="G754" s="125"/>
      <c r="H754" s="126"/>
    </row>
    <row r="755">
      <c r="C755" s="122"/>
      <c r="D755" s="123"/>
      <c r="E755" s="124"/>
      <c r="F755" s="124"/>
      <c r="G755" s="125"/>
      <c r="H755" s="126"/>
    </row>
    <row r="756">
      <c r="C756" s="122"/>
      <c r="D756" s="123"/>
      <c r="E756" s="124"/>
      <c r="F756" s="124"/>
      <c r="G756" s="125"/>
      <c r="H756" s="126"/>
    </row>
    <row r="757">
      <c r="C757" s="122"/>
      <c r="D757" s="123"/>
      <c r="E757" s="124"/>
      <c r="F757" s="124"/>
      <c r="G757" s="125"/>
      <c r="H757" s="126"/>
    </row>
    <row r="758">
      <c r="C758" s="122"/>
      <c r="D758" s="123"/>
      <c r="E758" s="124"/>
      <c r="F758" s="124"/>
      <c r="G758" s="125"/>
      <c r="H758" s="126"/>
    </row>
    <row r="759">
      <c r="C759" s="122"/>
      <c r="D759" s="123"/>
      <c r="E759" s="124"/>
      <c r="F759" s="124"/>
      <c r="G759" s="125"/>
      <c r="H759" s="126"/>
    </row>
    <row r="760">
      <c r="C760" s="122"/>
      <c r="D760" s="123"/>
      <c r="E760" s="124"/>
      <c r="F760" s="124"/>
      <c r="G760" s="125"/>
      <c r="H760" s="126"/>
    </row>
    <row r="761">
      <c r="C761" s="122"/>
      <c r="D761" s="123"/>
      <c r="E761" s="124"/>
      <c r="F761" s="124"/>
      <c r="G761" s="125"/>
      <c r="H761" s="126"/>
    </row>
    <row r="762">
      <c r="C762" s="122"/>
      <c r="D762" s="123"/>
      <c r="E762" s="124"/>
      <c r="F762" s="124"/>
      <c r="G762" s="125"/>
      <c r="H762" s="126"/>
    </row>
    <row r="763">
      <c r="C763" s="122"/>
      <c r="D763" s="123"/>
      <c r="E763" s="124"/>
      <c r="F763" s="124"/>
      <c r="G763" s="125"/>
      <c r="H763" s="126"/>
    </row>
    <row r="764">
      <c r="C764" s="122"/>
      <c r="D764" s="123"/>
      <c r="E764" s="124"/>
      <c r="F764" s="124"/>
      <c r="G764" s="125"/>
      <c r="H764" s="126"/>
    </row>
    <row r="765">
      <c r="C765" s="122"/>
      <c r="D765" s="123"/>
      <c r="E765" s="124"/>
      <c r="F765" s="124"/>
      <c r="G765" s="125"/>
      <c r="H765" s="126"/>
    </row>
    <row r="766">
      <c r="C766" s="122"/>
      <c r="D766" s="123"/>
      <c r="E766" s="124"/>
      <c r="F766" s="124"/>
      <c r="G766" s="125"/>
      <c r="H766" s="126"/>
    </row>
    <row r="767">
      <c r="C767" s="122"/>
      <c r="D767" s="123"/>
      <c r="E767" s="124"/>
      <c r="F767" s="124"/>
      <c r="G767" s="125"/>
      <c r="H767" s="126"/>
    </row>
    <row r="768">
      <c r="C768" s="122"/>
      <c r="D768" s="123"/>
      <c r="E768" s="124"/>
      <c r="F768" s="124"/>
      <c r="G768" s="125"/>
      <c r="H768" s="126"/>
    </row>
    <row r="769">
      <c r="C769" s="122"/>
      <c r="D769" s="123"/>
      <c r="E769" s="124"/>
      <c r="F769" s="124"/>
      <c r="G769" s="125"/>
      <c r="H769" s="126"/>
    </row>
    <row r="770">
      <c r="C770" s="122"/>
      <c r="D770" s="123"/>
      <c r="E770" s="124"/>
      <c r="F770" s="124"/>
      <c r="G770" s="125"/>
      <c r="H770" s="126"/>
    </row>
    <row r="771">
      <c r="C771" s="122"/>
      <c r="D771" s="123"/>
      <c r="E771" s="124"/>
      <c r="F771" s="124"/>
      <c r="G771" s="125"/>
      <c r="H771" s="126"/>
    </row>
    <row r="772">
      <c r="C772" s="122"/>
      <c r="D772" s="123"/>
      <c r="E772" s="124"/>
      <c r="F772" s="124"/>
      <c r="G772" s="125"/>
      <c r="H772" s="126"/>
    </row>
    <row r="773">
      <c r="C773" s="122"/>
      <c r="D773" s="123"/>
      <c r="E773" s="124"/>
      <c r="F773" s="124"/>
      <c r="G773" s="125"/>
      <c r="H773" s="126"/>
    </row>
    <row r="774">
      <c r="C774" s="122"/>
      <c r="D774" s="123"/>
      <c r="E774" s="124"/>
      <c r="F774" s="124"/>
      <c r="G774" s="125"/>
      <c r="H774" s="126"/>
    </row>
    <row r="775">
      <c r="C775" s="122"/>
      <c r="D775" s="123"/>
      <c r="E775" s="124"/>
      <c r="F775" s="124"/>
      <c r="G775" s="125"/>
      <c r="H775" s="126"/>
    </row>
    <row r="776">
      <c r="C776" s="122"/>
      <c r="D776" s="123"/>
      <c r="E776" s="124"/>
      <c r="F776" s="124"/>
      <c r="G776" s="125"/>
      <c r="H776" s="126"/>
    </row>
    <row r="777">
      <c r="C777" s="122"/>
      <c r="D777" s="123"/>
      <c r="E777" s="124"/>
      <c r="F777" s="124"/>
      <c r="G777" s="125"/>
      <c r="H777" s="126"/>
    </row>
    <row r="778">
      <c r="C778" s="122"/>
      <c r="D778" s="123"/>
      <c r="E778" s="124"/>
      <c r="F778" s="124"/>
      <c r="G778" s="125"/>
      <c r="H778" s="126"/>
    </row>
    <row r="779">
      <c r="C779" s="122"/>
      <c r="D779" s="123"/>
      <c r="E779" s="124"/>
      <c r="F779" s="124"/>
      <c r="G779" s="125"/>
      <c r="H779" s="126"/>
    </row>
    <row r="780">
      <c r="C780" s="122"/>
      <c r="D780" s="123"/>
      <c r="E780" s="124"/>
      <c r="F780" s="124"/>
      <c r="G780" s="125"/>
      <c r="H780" s="126"/>
    </row>
    <row r="781">
      <c r="C781" s="122"/>
      <c r="D781" s="123"/>
      <c r="E781" s="124"/>
      <c r="F781" s="124"/>
      <c r="G781" s="125"/>
      <c r="H781" s="126"/>
    </row>
    <row r="782">
      <c r="C782" s="122"/>
      <c r="D782" s="123"/>
      <c r="E782" s="124"/>
      <c r="F782" s="124"/>
      <c r="G782" s="125"/>
      <c r="H782" s="126"/>
    </row>
    <row r="783">
      <c r="C783" s="122"/>
      <c r="D783" s="123"/>
      <c r="E783" s="124"/>
      <c r="F783" s="124"/>
      <c r="G783" s="125"/>
      <c r="H783" s="126"/>
    </row>
    <row r="784">
      <c r="C784" s="122"/>
      <c r="D784" s="123"/>
      <c r="E784" s="124"/>
      <c r="F784" s="124"/>
      <c r="G784" s="125"/>
      <c r="H784" s="126"/>
    </row>
    <row r="785">
      <c r="C785" s="122"/>
      <c r="D785" s="123"/>
      <c r="E785" s="124"/>
      <c r="F785" s="124"/>
      <c r="G785" s="125"/>
      <c r="H785" s="126"/>
    </row>
    <row r="786">
      <c r="C786" s="122"/>
      <c r="D786" s="123"/>
      <c r="E786" s="124"/>
      <c r="F786" s="124"/>
      <c r="G786" s="125"/>
      <c r="H786" s="126"/>
    </row>
    <row r="787">
      <c r="C787" s="122"/>
      <c r="D787" s="123"/>
      <c r="E787" s="124"/>
      <c r="F787" s="124"/>
      <c r="G787" s="125"/>
      <c r="H787" s="126"/>
    </row>
    <row r="788">
      <c r="C788" s="122"/>
      <c r="D788" s="123"/>
      <c r="E788" s="124"/>
      <c r="F788" s="124"/>
      <c r="G788" s="125"/>
      <c r="H788" s="126"/>
    </row>
    <row r="789">
      <c r="C789" s="122"/>
      <c r="D789" s="123"/>
      <c r="E789" s="124"/>
      <c r="F789" s="124"/>
      <c r="G789" s="125"/>
      <c r="H789" s="126"/>
    </row>
    <row r="790">
      <c r="C790" s="122"/>
      <c r="D790" s="123"/>
      <c r="E790" s="124"/>
      <c r="F790" s="124"/>
      <c r="G790" s="125"/>
      <c r="H790" s="126"/>
    </row>
    <row r="791">
      <c r="C791" s="122"/>
      <c r="D791" s="123"/>
      <c r="E791" s="124"/>
      <c r="F791" s="124"/>
      <c r="G791" s="125"/>
      <c r="H791" s="126"/>
    </row>
    <row r="792">
      <c r="C792" s="122"/>
      <c r="D792" s="123"/>
      <c r="E792" s="124"/>
      <c r="F792" s="124"/>
      <c r="G792" s="125"/>
      <c r="H792" s="126"/>
    </row>
    <row r="793">
      <c r="C793" s="122"/>
      <c r="D793" s="123"/>
      <c r="E793" s="124"/>
      <c r="F793" s="124"/>
      <c r="G793" s="125"/>
      <c r="H793" s="126"/>
    </row>
    <row r="794">
      <c r="C794" s="122"/>
      <c r="D794" s="123"/>
      <c r="E794" s="124"/>
      <c r="F794" s="124"/>
      <c r="G794" s="125"/>
      <c r="H794" s="126"/>
    </row>
    <row r="795">
      <c r="C795" s="122"/>
      <c r="D795" s="123"/>
      <c r="E795" s="124"/>
      <c r="F795" s="124"/>
      <c r="G795" s="125"/>
      <c r="H795" s="126"/>
    </row>
    <row r="796">
      <c r="C796" s="122"/>
      <c r="D796" s="123"/>
      <c r="E796" s="124"/>
      <c r="F796" s="124"/>
      <c r="G796" s="125"/>
      <c r="H796" s="126"/>
    </row>
    <row r="797">
      <c r="C797" s="122"/>
      <c r="D797" s="123"/>
      <c r="E797" s="124"/>
      <c r="F797" s="124"/>
      <c r="G797" s="125"/>
      <c r="H797" s="126"/>
    </row>
    <row r="798">
      <c r="C798" s="122"/>
      <c r="D798" s="123"/>
      <c r="E798" s="124"/>
      <c r="F798" s="124"/>
      <c r="G798" s="125"/>
      <c r="H798" s="126"/>
    </row>
    <row r="799">
      <c r="C799" s="122"/>
      <c r="D799" s="123"/>
      <c r="E799" s="124"/>
      <c r="F799" s="124"/>
      <c r="G799" s="125"/>
      <c r="H799" s="126"/>
    </row>
    <row r="800">
      <c r="C800" s="122"/>
      <c r="D800" s="123"/>
      <c r="E800" s="124"/>
      <c r="F800" s="124"/>
      <c r="G800" s="125"/>
      <c r="H800" s="126"/>
    </row>
    <row r="801">
      <c r="C801" s="122"/>
      <c r="D801" s="123"/>
      <c r="E801" s="124"/>
      <c r="F801" s="124"/>
      <c r="G801" s="125"/>
      <c r="H801" s="126"/>
    </row>
    <row r="802">
      <c r="C802" s="122"/>
      <c r="D802" s="123"/>
      <c r="E802" s="124"/>
      <c r="F802" s="124"/>
      <c r="G802" s="125"/>
      <c r="H802" s="126"/>
    </row>
    <row r="803">
      <c r="C803" s="122"/>
      <c r="D803" s="123"/>
      <c r="E803" s="124"/>
      <c r="F803" s="124"/>
      <c r="G803" s="125"/>
      <c r="H803" s="126"/>
    </row>
    <row r="804">
      <c r="C804" s="122"/>
      <c r="D804" s="123"/>
      <c r="E804" s="124"/>
      <c r="F804" s="124"/>
      <c r="G804" s="125"/>
      <c r="H804" s="126"/>
    </row>
    <row r="805">
      <c r="C805" s="122"/>
      <c r="D805" s="123"/>
      <c r="E805" s="124"/>
      <c r="F805" s="124"/>
      <c r="G805" s="125"/>
      <c r="H805" s="126"/>
    </row>
    <row r="806">
      <c r="C806" s="122"/>
      <c r="D806" s="123"/>
      <c r="E806" s="124"/>
      <c r="F806" s="124"/>
      <c r="G806" s="125"/>
      <c r="H806" s="126"/>
    </row>
    <row r="807">
      <c r="C807" s="122"/>
      <c r="D807" s="123"/>
      <c r="E807" s="124"/>
      <c r="F807" s="124"/>
      <c r="G807" s="125"/>
      <c r="H807" s="126"/>
    </row>
    <row r="808">
      <c r="C808" s="122"/>
      <c r="D808" s="123"/>
      <c r="E808" s="124"/>
      <c r="F808" s="124"/>
      <c r="G808" s="125"/>
      <c r="H808" s="126"/>
    </row>
    <row r="809">
      <c r="C809" s="122"/>
      <c r="D809" s="123"/>
      <c r="E809" s="124"/>
      <c r="F809" s="124"/>
      <c r="G809" s="125"/>
      <c r="H809" s="126"/>
    </row>
    <row r="810">
      <c r="C810" s="122"/>
      <c r="D810" s="123"/>
      <c r="E810" s="124"/>
      <c r="F810" s="124"/>
      <c r="G810" s="125"/>
      <c r="H810" s="126"/>
    </row>
    <row r="811">
      <c r="C811" s="122"/>
      <c r="D811" s="123"/>
      <c r="E811" s="124"/>
      <c r="F811" s="124"/>
      <c r="G811" s="125"/>
      <c r="H811" s="126"/>
    </row>
    <row r="812">
      <c r="C812" s="122"/>
      <c r="D812" s="123"/>
      <c r="E812" s="124"/>
      <c r="F812" s="124"/>
      <c r="G812" s="125"/>
      <c r="H812" s="126"/>
    </row>
    <row r="813">
      <c r="C813" s="122"/>
      <c r="D813" s="123"/>
      <c r="E813" s="124"/>
      <c r="F813" s="124"/>
      <c r="G813" s="125"/>
      <c r="H813" s="126"/>
    </row>
    <row r="814">
      <c r="C814" s="122"/>
      <c r="D814" s="123"/>
      <c r="E814" s="124"/>
      <c r="F814" s="124"/>
      <c r="G814" s="125"/>
      <c r="H814" s="126"/>
    </row>
    <row r="815">
      <c r="C815" s="122"/>
      <c r="D815" s="123"/>
      <c r="E815" s="124"/>
      <c r="F815" s="124"/>
      <c r="G815" s="125"/>
      <c r="H815" s="126"/>
    </row>
    <row r="816">
      <c r="C816" s="122"/>
      <c r="D816" s="123"/>
      <c r="E816" s="124"/>
      <c r="F816" s="124"/>
      <c r="G816" s="125"/>
      <c r="H816" s="126"/>
    </row>
    <row r="817">
      <c r="C817" s="122"/>
      <c r="D817" s="123"/>
      <c r="E817" s="124"/>
      <c r="F817" s="124"/>
      <c r="G817" s="125"/>
      <c r="H817" s="126"/>
    </row>
    <row r="818">
      <c r="C818" s="122"/>
      <c r="D818" s="123"/>
      <c r="E818" s="124"/>
      <c r="F818" s="124"/>
      <c r="G818" s="125"/>
      <c r="H818" s="126"/>
    </row>
    <row r="819">
      <c r="C819" s="122"/>
      <c r="D819" s="123"/>
      <c r="E819" s="124"/>
      <c r="F819" s="124"/>
      <c r="G819" s="125"/>
      <c r="H819" s="126"/>
    </row>
    <row r="820">
      <c r="C820" s="122"/>
      <c r="D820" s="123"/>
      <c r="E820" s="124"/>
      <c r="F820" s="124"/>
      <c r="G820" s="125"/>
      <c r="H820" s="126"/>
    </row>
    <row r="821">
      <c r="C821" s="122"/>
      <c r="D821" s="123"/>
      <c r="E821" s="124"/>
      <c r="F821" s="124"/>
      <c r="G821" s="125"/>
      <c r="H821" s="126"/>
    </row>
    <row r="822">
      <c r="C822" s="122"/>
      <c r="D822" s="123"/>
      <c r="E822" s="124"/>
      <c r="F822" s="124"/>
      <c r="G822" s="125"/>
      <c r="H822" s="126"/>
    </row>
    <row r="823">
      <c r="C823" s="122"/>
      <c r="D823" s="123"/>
      <c r="E823" s="124"/>
      <c r="F823" s="124"/>
      <c r="G823" s="125"/>
      <c r="H823" s="126"/>
    </row>
    <row r="824">
      <c r="C824" s="122"/>
      <c r="D824" s="123"/>
      <c r="E824" s="124"/>
      <c r="F824" s="124"/>
      <c r="G824" s="125"/>
      <c r="H824" s="126"/>
    </row>
    <row r="825">
      <c r="C825" s="122"/>
      <c r="D825" s="123"/>
      <c r="E825" s="124"/>
      <c r="F825" s="124"/>
      <c r="G825" s="125"/>
      <c r="H825" s="126"/>
    </row>
    <row r="826">
      <c r="C826" s="122"/>
      <c r="D826" s="123"/>
      <c r="E826" s="124"/>
      <c r="F826" s="124"/>
      <c r="G826" s="125"/>
      <c r="H826" s="126"/>
    </row>
    <row r="827">
      <c r="C827" s="122"/>
      <c r="D827" s="123"/>
      <c r="E827" s="124"/>
      <c r="F827" s="124"/>
      <c r="G827" s="125"/>
      <c r="H827" s="126"/>
    </row>
    <row r="828">
      <c r="C828" s="122"/>
      <c r="D828" s="123"/>
      <c r="E828" s="124"/>
      <c r="F828" s="124"/>
      <c r="G828" s="125"/>
      <c r="H828" s="126"/>
    </row>
    <row r="829">
      <c r="C829" s="122"/>
      <c r="D829" s="123"/>
      <c r="E829" s="124"/>
      <c r="F829" s="124"/>
      <c r="G829" s="125"/>
      <c r="H829" s="126"/>
    </row>
    <row r="830">
      <c r="C830" s="122"/>
      <c r="D830" s="123"/>
      <c r="E830" s="124"/>
      <c r="F830" s="124"/>
      <c r="G830" s="125"/>
      <c r="H830" s="126"/>
    </row>
    <row r="831">
      <c r="C831" s="122"/>
      <c r="D831" s="123"/>
      <c r="E831" s="124"/>
      <c r="F831" s="124"/>
      <c r="G831" s="125"/>
      <c r="H831" s="126"/>
    </row>
    <row r="832">
      <c r="C832" s="122"/>
      <c r="D832" s="123"/>
      <c r="E832" s="124"/>
      <c r="F832" s="124"/>
      <c r="G832" s="125"/>
      <c r="H832" s="126"/>
    </row>
    <row r="833">
      <c r="C833" s="122"/>
      <c r="D833" s="123"/>
      <c r="E833" s="124"/>
      <c r="F833" s="124"/>
      <c r="G833" s="125"/>
      <c r="H833" s="126"/>
    </row>
    <row r="834">
      <c r="C834" s="122"/>
      <c r="D834" s="123"/>
      <c r="E834" s="124"/>
      <c r="F834" s="124"/>
      <c r="G834" s="125"/>
      <c r="H834" s="126"/>
    </row>
    <row r="835">
      <c r="C835" s="122"/>
      <c r="D835" s="123"/>
      <c r="E835" s="124"/>
      <c r="F835" s="124"/>
      <c r="G835" s="125"/>
      <c r="H835" s="126"/>
    </row>
    <row r="836">
      <c r="C836" s="122"/>
      <c r="D836" s="123"/>
      <c r="E836" s="124"/>
      <c r="F836" s="124"/>
      <c r="G836" s="125"/>
      <c r="H836" s="126"/>
    </row>
    <row r="837">
      <c r="C837" s="122"/>
      <c r="D837" s="123"/>
      <c r="E837" s="124"/>
      <c r="F837" s="124"/>
      <c r="G837" s="125"/>
      <c r="H837" s="126"/>
    </row>
    <row r="838">
      <c r="C838" s="122"/>
      <c r="D838" s="123"/>
      <c r="E838" s="124"/>
      <c r="F838" s="124"/>
      <c r="G838" s="125"/>
      <c r="H838" s="126"/>
    </row>
    <row r="839">
      <c r="C839" s="122"/>
      <c r="D839" s="123"/>
      <c r="E839" s="124"/>
      <c r="F839" s="124"/>
      <c r="G839" s="125"/>
      <c r="H839" s="126"/>
    </row>
    <row r="840">
      <c r="C840" s="122"/>
      <c r="D840" s="123"/>
      <c r="E840" s="124"/>
      <c r="F840" s="124"/>
      <c r="G840" s="125"/>
      <c r="H840" s="126"/>
    </row>
    <row r="841">
      <c r="C841" s="122"/>
      <c r="D841" s="123"/>
      <c r="E841" s="124"/>
      <c r="F841" s="124"/>
      <c r="G841" s="125"/>
      <c r="H841" s="126"/>
    </row>
    <row r="842">
      <c r="C842" s="122"/>
      <c r="D842" s="123"/>
      <c r="E842" s="124"/>
      <c r="F842" s="124"/>
      <c r="G842" s="125"/>
      <c r="H842" s="126"/>
    </row>
    <row r="843">
      <c r="C843" s="122"/>
      <c r="D843" s="123"/>
      <c r="E843" s="124"/>
      <c r="F843" s="124"/>
      <c r="G843" s="125"/>
      <c r="H843" s="126"/>
    </row>
    <row r="844">
      <c r="C844" s="122"/>
      <c r="D844" s="123"/>
      <c r="E844" s="124"/>
      <c r="F844" s="124"/>
      <c r="G844" s="125"/>
      <c r="H844" s="126"/>
    </row>
    <row r="845">
      <c r="C845" s="122"/>
      <c r="D845" s="123"/>
      <c r="E845" s="124"/>
      <c r="F845" s="124"/>
      <c r="G845" s="125"/>
      <c r="H845" s="126"/>
    </row>
    <row r="846">
      <c r="C846" s="122"/>
      <c r="D846" s="123"/>
      <c r="E846" s="124"/>
      <c r="F846" s="124"/>
      <c r="G846" s="125"/>
      <c r="H846" s="126"/>
    </row>
    <row r="847">
      <c r="C847" s="122"/>
      <c r="D847" s="123"/>
      <c r="E847" s="124"/>
      <c r="F847" s="124"/>
      <c r="G847" s="125"/>
      <c r="H847" s="126"/>
    </row>
    <row r="848">
      <c r="C848" s="122"/>
      <c r="D848" s="123"/>
      <c r="E848" s="124"/>
      <c r="F848" s="124"/>
      <c r="G848" s="125"/>
      <c r="H848" s="126"/>
    </row>
    <row r="849">
      <c r="C849" s="122"/>
      <c r="D849" s="123"/>
      <c r="E849" s="124"/>
      <c r="F849" s="124"/>
      <c r="G849" s="125"/>
      <c r="H849" s="126"/>
    </row>
    <row r="850">
      <c r="C850" s="122"/>
      <c r="D850" s="123"/>
      <c r="E850" s="124"/>
      <c r="F850" s="124"/>
      <c r="G850" s="125"/>
      <c r="H850" s="126"/>
    </row>
    <row r="851">
      <c r="C851" s="122"/>
      <c r="D851" s="123"/>
      <c r="E851" s="124"/>
      <c r="F851" s="124"/>
      <c r="G851" s="125"/>
      <c r="H851" s="126"/>
    </row>
    <row r="852">
      <c r="C852" s="122"/>
      <c r="D852" s="123"/>
      <c r="E852" s="124"/>
      <c r="F852" s="124"/>
      <c r="G852" s="125"/>
      <c r="H852" s="126"/>
    </row>
    <row r="853">
      <c r="C853" s="122"/>
      <c r="D853" s="123"/>
      <c r="E853" s="124"/>
      <c r="F853" s="124"/>
      <c r="G853" s="125"/>
      <c r="H853" s="126"/>
    </row>
    <row r="854">
      <c r="C854" s="122"/>
      <c r="D854" s="123"/>
      <c r="E854" s="124"/>
      <c r="F854" s="124"/>
      <c r="G854" s="125"/>
      <c r="H854" s="126"/>
    </row>
    <row r="855">
      <c r="C855" s="122"/>
      <c r="D855" s="123"/>
      <c r="E855" s="124"/>
      <c r="F855" s="124"/>
      <c r="G855" s="125"/>
      <c r="H855" s="126"/>
    </row>
    <row r="856">
      <c r="C856" s="122"/>
      <c r="D856" s="123"/>
      <c r="E856" s="124"/>
      <c r="F856" s="124"/>
      <c r="G856" s="125"/>
      <c r="H856" s="126"/>
    </row>
    <row r="857">
      <c r="C857" s="122"/>
      <c r="D857" s="123"/>
      <c r="E857" s="124"/>
      <c r="F857" s="124"/>
      <c r="G857" s="125"/>
      <c r="H857" s="126"/>
    </row>
    <row r="858">
      <c r="C858" s="122"/>
      <c r="D858" s="123"/>
      <c r="E858" s="124"/>
      <c r="F858" s="124"/>
      <c r="G858" s="125"/>
      <c r="H858" s="126"/>
    </row>
    <row r="859">
      <c r="C859" s="122"/>
      <c r="D859" s="123"/>
      <c r="E859" s="124"/>
      <c r="F859" s="124"/>
      <c r="G859" s="125"/>
      <c r="H859" s="126"/>
    </row>
    <row r="860">
      <c r="C860" s="122"/>
      <c r="D860" s="123"/>
      <c r="E860" s="124"/>
      <c r="F860" s="124"/>
      <c r="G860" s="125"/>
      <c r="H860" s="126"/>
    </row>
    <row r="861">
      <c r="C861" s="122"/>
      <c r="D861" s="123"/>
      <c r="E861" s="124"/>
      <c r="F861" s="124"/>
      <c r="G861" s="125"/>
      <c r="H861" s="126"/>
    </row>
    <row r="862">
      <c r="C862" s="122"/>
      <c r="D862" s="123"/>
      <c r="E862" s="124"/>
      <c r="F862" s="124"/>
      <c r="G862" s="125"/>
      <c r="H862" s="126"/>
    </row>
    <row r="863">
      <c r="C863" s="127"/>
      <c r="D863" s="123"/>
      <c r="E863" s="124"/>
      <c r="F863" s="124"/>
      <c r="G863" s="125"/>
      <c r="H863" s="126"/>
    </row>
  </sheetData>
  <mergeCells count="1">
    <mergeCell ref="K2:M2"/>
  </mergeCells>
  <hyperlinks>
    <hyperlink r:id="rId1" location="gid=61091455" ref="A1"/>
  </hyperlinks>
  <drawing r:id="rId2"/>
  <tableParts count="2"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63"/>
    <col customWidth="1" min="7" max="7" width="31.25"/>
    <col customWidth="1" min="8" max="8" width="28.0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</cols>
  <sheetData>
    <row r="1" ht="18.0" customHeight="1">
      <c r="A1" s="128" t="s">
        <v>10</v>
      </c>
      <c r="U1" s="129"/>
      <c r="V1" s="129"/>
      <c r="W1" s="129"/>
      <c r="X1" s="129"/>
      <c r="Y1" s="129"/>
      <c r="Z1" s="129"/>
    </row>
    <row r="2" ht="18.0" customHeight="1">
      <c r="A2" s="130" t="s">
        <v>11</v>
      </c>
      <c r="U2" s="129"/>
      <c r="V2" s="129"/>
      <c r="W2" s="129"/>
      <c r="X2" s="129"/>
      <c r="Y2" s="129"/>
      <c r="Z2" s="129"/>
    </row>
    <row r="3" ht="18.0" customHeight="1">
      <c r="A3" s="130"/>
      <c r="U3" s="129"/>
      <c r="V3" s="129"/>
      <c r="W3" s="129"/>
      <c r="X3" s="129"/>
      <c r="Y3" s="129"/>
      <c r="Z3" s="129"/>
    </row>
    <row r="4" ht="18.0" customHeight="1">
      <c r="A4" s="131" t="s">
        <v>12</v>
      </c>
      <c r="U4" s="129"/>
      <c r="V4" s="129"/>
      <c r="W4" s="129"/>
      <c r="X4" s="129"/>
      <c r="Y4" s="129"/>
      <c r="Z4" s="129"/>
    </row>
    <row r="5" ht="18.0" customHeight="1">
      <c r="A5" s="131" t="s">
        <v>13</v>
      </c>
      <c r="U5" s="129"/>
      <c r="V5" s="129"/>
      <c r="W5" s="129"/>
      <c r="X5" s="129"/>
      <c r="Y5" s="129"/>
      <c r="Z5" s="129"/>
    </row>
    <row r="6" ht="18.0" customHeight="1">
      <c r="A6" s="131" t="s">
        <v>14</v>
      </c>
      <c r="U6" s="129"/>
      <c r="V6" s="129"/>
      <c r="W6" s="129"/>
      <c r="X6" s="129"/>
      <c r="Y6" s="129"/>
      <c r="Z6" s="129"/>
    </row>
    <row r="7" ht="18.0" customHeight="1">
      <c r="A7" s="131" t="s">
        <v>15</v>
      </c>
      <c r="U7" s="129"/>
      <c r="V7" s="129"/>
      <c r="W7" s="129"/>
      <c r="X7" s="129"/>
      <c r="Y7" s="129"/>
      <c r="Z7" s="129"/>
    </row>
    <row r="8" ht="18.0" customHeight="1">
      <c r="A8" s="130"/>
      <c r="U8" s="129"/>
      <c r="V8" s="129"/>
      <c r="W8" s="129"/>
      <c r="X8" s="129"/>
      <c r="Y8" s="129"/>
      <c r="Z8" s="129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  <c r="U9" s="129"/>
      <c r="V9" s="129"/>
      <c r="W9" s="129"/>
      <c r="X9" s="129"/>
      <c r="Y9" s="129"/>
      <c r="Z9" s="129"/>
    </row>
    <row r="10" ht="18.0" customHeight="1">
      <c r="A10" s="133" t="s">
        <v>36</v>
      </c>
      <c r="U10" s="129"/>
      <c r="V10" s="129"/>
      <c r="W10" s="129"/>
      <c r="X10" s="129"/>
      <c r="Y10" s="129"/>
      <c r="Z10" s="129"/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  <c r="U11" s="129"/>
      <c r="V11" s="129"/>
      <c r="W11" s="129"/>
      <c r="X11" s="129"/>
      <c r="Y11" s="129"/>
      <c r="Z11" s="129"/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0.0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  <c r="U12" s="129"/>
      <c r="V12" s="129"/>
      <c r="W12" s="129"/>
      <c r="X12" s="129"/>
      <c r="Y12" s="129"/>
      <c r="Z12" s="129"/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967.0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  <c r="U13" s="129"/>
      <c r="V13" s="129"/>
      <c r="W13" s="129"/>
      <c r="X13" s="129"/>
      <c r="Y13" s="129"/>
      <c r="Z13" s="129"/>
    </row>
    <row r="14" ht="18.0" customHeight="1">
      <c r="A14" s="134" t="s">
        <v>42</v>
      </c>
      <c r="B14" s="134" t="s">
        <v>38</v>
      </c>
      <c r="C14" s="134" t="s">
        <v>39</v>
      </c>
      <c r="D14" s="135">
        <v>950.0</v>
      </c>
      <c r="E14" s="136">
        <v>1000.0</v>
      </c>
      <c r="F14" s="136">
        <v>0.0</v>
      </c>
      <c r="G14" s="136">
        <v>0.0</v>
      </c>
      <c r="H14" s="136">
        <v>0.0</v>
      </c>
      <c r="I14" s="136">
        <v>1000.0</v>
      </c>
      <c r="J14" s="136">
        <v>0.0</v>
      </c>
      <c r="K14" s="136">
        <v>0.0</v>
      </c>
      <c r="L14" s="136">
        <v>0.0</v>
      </c>
      <c r="M14" s="136">
        <v>0.0</v>
      </c>
      <c r="N14" s="136">
        <v>0.0</v>
      </c>
      <c r="O14" s="136">
        <v>0.0</v>
      </c>
      <c r="P14" s="136">
        <v>0.0</v>
      </c>
      <c r="Q14" s="136">
        <v>0.0</v>
      </c>
      <c r="R14" s="136">
        <v>0.0</v>
      </c>
      <c r="S14" s="137">
        <v>45366.0</v>
      </c>
      <c r="T14" s="137">
        <v>46095.0</v>
      </c>
      <c r="U14" s="129"/>
      <c r="V14" s="129"/>
      <c r="W14" s="129"/>
      <c r="X14" s="129"/>
      <c r="Y14" s="129"/>
      <c r="Z14" s="129"/>
    </row>
    <row r="15" ht="18.0" customHeight="1">
      <c r="A15" s="138" t="s">
        <v>43</v>
      </c>
      <c r="B15" s="138"/>
      <c r="C15" s="138" t="s">
        <v>44</v>
      </c>
      <c r="D15" s="139">
        <v>3800.0</v>
      </c>
      <c r="E15" s="140">
        <v>3925.0</v>
      </c>
      <c r="F15" s="140">
        <v>967.0</v>
      </c>
      <c r="G15" s="140">
        <v>0.0</v>
      </c>
      <c r="H15" s="140">
        <v>0.0</v>
      </c>
      <c r="I15" s="140">
        <v>3532.0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  <c r="U15" s="129"/>
      <c r="V15" s="129"/>
      <c r="W15" s="129"/>
      <c r="X15" s="129"/>
      <c r="Y15" s="129"/>
      <c r="Z15" s="129"/>
    </row>
    <row r="16" ht="18.0" customHeight="1">
      <c r="A16" s="133" t="s">
        <v>45</v>
      </c>
      <c r="U16" s="129"/>
      <c r="V16" s="129"/>
      <c r="W16" s="129"/>
      <c r="X16" s="129"/>
      <c r="Y16" s="129"/>
      <c r="Z16" s="129"/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  <c r="U17" s="129"/>
      <c r="V17" s="129"/>
      <c r="W17" s="129"/>
      <c r="X17" s="129"/>
      <c r="Y17" s="129"/>
      <c r="Z17" s="129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  <c r="U18" s="129"/>
      <c r="V18" s="129"/>
      <c r="W18" s="129"/>
      <c r="X18" s="129"/>
      <c r="Y18" s="129"/>
      <c r="Z18" s="129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  <c r="U19" s="129"/>
      <c r="V19" s="129"/>
      <c r="W19" s="129"/>
      <c r="X19" s="129"/>
      <c r="Y19" s="129"/>
      <c r="Z19" s="129"/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950.0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  <c r="U20" s="129"/>
      <c r="V20" s="129"/>
      <c r="W20" s="129"/>
      <c r="X20" s="129"/>
      <c r="Y20" s="129"/>
      <c r="Z20" s="129"/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46078.0</v>
      </c>
      <c r="U21" s="129"/>
      <c r="V21" s="129"/>
      <c r="W21" s="129"/>
      <c r="X21" s="129"/>
      <c r="Y21" s="129"/>
      <c r="Z21" s="129"/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0.0</v>
      </c>
      <c r="F22" s="136">
        <v>0.0</v>
      </c>
      <c r="G22" s="136">
        <v>0.0</v>
      </c>
      <c r="H22" s="136">
        <v>0.0</v>
      </c>
      <c r="I22" s="136">
        <v>0.0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0.0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  <c r="U22" s="129"/>
      <c r="V22" s="129"/>
      <c r="W22" s="129"/>
      <c r="X22" s="129"/>
      <c r="Y22" s="129"/>
      <c r="Z22" s="129"/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2725.0</v>
      </c>
      <c r="F23" s="140">
        <v>950.0</v>
      </c>
      <c r="G23" s="140">
        <v>0.0</v>
      </c>
      <c r="H23" s="140">
        <v>0.0</v>
      </c>
      <c r="I23" s="140">
        <v>2140.0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25.0</v>
      </c>
      <c r="P23" s="140">
        <v>0.0</v>
      </c>
      <c r="Q23" s="140">
        <v>0.0</v>
      </c>
      <c r="R23" s="140">
        <v>0.0</v>
      </c>
      <c r="S23" s="141"/>
      <c r="T23" s="141"/>
      <c r="U23" s="129"/>
      <c r="V23" s="129"/>
      <c r="W23" s="129"/>
      <c r="X23" s="129"/>
      <c r="Y23" s="129"/>
      <c r="Z23" s="129"/>
    </row>
    <row r="24" ht="18.0" customHeight="1">
      <c r="A24" s="133" t="s">
        <v>55</v>
      </c>
      <c r="U24" s="129"/>
      <c r="V24" s="129"/>
      <c r="W24" s="129"/>
      <c r="X24" s="129"/>
      <c r="Y24" s="129"/>
      <c r="Z24" s="129"/>
    </row>
    <row r="25" ht="18.0" customHeight="1">
      <c r="A25" s="134" t="s">
        <v>46</v>
      </c>
      <c r="B25" s="134" t="s">
        <v>56</v>
      </c>
      <c r="C25" s="134" t="s">
        <v>39</v>
      </c>
      <c r="D25" s="135">
        <v>485.0</v>
      </c>
      <c r="E25" s="136">
        <v>650.0</v>
      </c>
      <c r="F25" s="136">
        <v>850.0</v>
      </c>
      <c r="G25" s="136">
        <v>0.0</v>
      </c>
      <c r="H25" s="136">
        <v>0.0</v>
      </c>
      <c r="I25" s="136">
        <v>650.0</v>
      </c>
      <c r="J25" s="136">
        <v>0.0</v>
      </c>
      <c r="K25" s="136">
        <v>0.0</v>
      </c>
      <c r="L25" s="136">
        <v>0.0</v>
      </c>
      <c r="M25" s="136">
        <v>0.0</v>
      </c>
      <c r="N25" s="136">
        <v>0.0</v>
      </c>
      <c r="O25" s="136">
        <v>0.0</v>
      </c>
      <c r="P25" s="136">
        <v>0.0</v>
      </c>
      <c r="Q25" s="136">
        <v>0.0</v>
      </c>
      <c r="R25" s="136">
        <v>0.0</v>
      </c>
      <c r="S25" s="137">
        <v>45600.0</v>
      </c>
      <c r="T25" s="137">
        <v>45964.0</v>
      </c>
      <c r="U25" s="129"/>
      <c r="V25" s="129"/>
      <c r="W25" s="129"/>
      <c r="X25" s="129"/>
      <c r="Y25" s="129"/>
      <c r="Z25" s="129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  <c r="U26" s="129"/>
      <c r="V26" s="129"/>
      <c r="W26" s="129"/>
      <c r="X26" s="129"/>
      <c r="Y26" s="129"/>
      <c r="Z26" s="129"/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  <c r="U27" s="129"/>
      <c r="V27" s="129"/>
      <c r="W27" s="129"/>
      <c r="X27" s="129"/>
      <c r="Y27" s="129"/>
      <c r="Z27" s="129"/>
    </row>
    <row r="28" ht="18.0" customHeight="1">
      <c r="A28" s="134" t="s">
        <v>51</v>
      </c>
      <c r="B28" s="134" t="s">
        <v>56</v>
      </c>
      <c r="C28" s="134" t="s">
        <v>39</v>
      </c>
      <c r="D28" s="135">
        <v>621.0</v>
      </c>
      <c r="E28" s="136">
        <v>725.0</v>
      </c>
      <c r="F28" s="136">
        <v>1062.5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  <c r="U28" s="129"/>
      <c r="V28" s="129"/>
      <c r="W28" s="129"/>
      <c r="X28" s="129"/>
      <c r="Y28" s="129"/>
      <c r="Z28" s="129"/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750.0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46066.0</v>
      </c>
      <c r="U29" s="129"/>
      <c r="V29" s="129"/>
      <c r="W29" s="129"/>
      <c r="X29" s="129"/>
      <c r="Y29" s="129"/>
      <c r="Z29" s="129"/>
    </row>
    <row r="30" ht="18.0" customHeight="1">
      <c r="A30" s="138" t="s">
        <v>57</v>
      </c>
      <c r="B30" s="138"/>
      <c r="C30" s="138" t="s">
        <v>44</v>
      </c>
      <c r="D30" s="139">
        <v>2969.0</v>
      </c>
      <c r="E30" s="140">
        <v>3575.0</v>
      </c>
      <c r="F30" s="140">
        <v>2662.5</v>
      </c>
      <c r="G30" s="140">
        <v>0.0</v>
      </c>
      <c r="H30" s="140">
        <v>0.0</v>
      </c>
      <c r="I30" s="140">
        <v>3575.0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  <c r="U30" s="129"/>
      <c r="V30" s="129"/>
      <c r="W30" s="129"/>
      <c r="X30" s="129"/>
      <c r="Y30" s="129"/>
      <c r="Z30" s="129"/>
    </row>
    <row r="31" ht="18.0" customHeight="1">
      <c r="A31" s="133" t="s">
        <v>58</v>
      </c>
      <c r="U31" s="129"/>
      <c r="V31" s="129"/>
      <c r="W31" s="129"/>
      <c r="X31" s="129"/>
      <c r="Y31" s="129"/>
      <c r="Z31" s="129"/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750.0</v>
      </c>
      <c r="F32" s="136">
        <v>316.0</v>
      </c>
      <c r="G32" s="136">
        <v>0.0</v>
      </c>
      <c r="H32" s="136">
        <v>0.0</v>
      </c>
      <c r="I32" s="136">
        <v>750.0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  <c r="U32" s="129"/>
      <c r="V32" s="129"/>
      <c r="W32" s="129"/>
      <c r="X32" s="129"/>
      <c r="Y32" s="129"/>
      <c r="Z32" s="129"/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896.01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  <c r="U33" s="129"/>
      <c r="V33" s="129"/>
      <c r="W33" s="129"/>
      <c r="X33" s="129"/>
      <c r="Y33" s="129"/>
      <c r="Z33" s="129"/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1400.0</v>
      </c>
      <c r="F34" s="140">
        <v>1212.01</v>
      </c>
      <c r="G34" s="140">
        <v>0.0</v>
      </c>
      <c r="H34" s="140">
        <v>0.0</v>
      </c>
      <c r="I34" s="140">
        <v>1400.0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  <c r="U34" s="129"/>
      <c r="V34" s="129"/>
      <c r="W34" s="129"/>
      <c r="X34" s="129"/>
      <c r="Y34" s="129"/>
      <c r="Z34" s="129"/>
    </row>
    <row r="35" ht="18.0" customHeight="1">
      <c r="A35" s="133" t="s">
        <v>62</v>
      </c>
      <c r="U35" s="129"/>
      <c r="V35" s="129"/>
      <c r="W35" s="129"/>
      <c r="X35" s="129"/>
      <c r="Y35" s="129"/>
      <c r="Z35" s="129"/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1200.0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  <c r="U36" s="129"/>
      <c r="V36" s="129"/>
      <c r="W36" s="129"/>
      <c r="X36" s="129"/>
      <c r="Y36" s="129"/>
      <c r="Z36" s="129"/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  <c r="U37" s="129"/>
      <c r="V37" s="129"/>
      <c r="W37" s="129"/>
      <c r="X37" s="129"/>
      <c r="Y37" s="129"/>
      <c r="Z37" s="129"/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1200.0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  <c r="U38" s="129"/>
      <c r="V38" s="129"/>
      <c r="W38" s="129"/>
      <c r="X38" s="129"/>
      <c r="Y38" s="129"/>
      <c r="Z38" s="129"/>
    </row>
    <row r="39" ht="18.0" customHeight="1">
      <c r="A39" s="133" t="s">
        <v>64</v>
      </c>
      <c r="U39" s="129"/>
      <c r="V39" s="129"/>
      <c r="W39" s="129"/>
      <c r="X39" s="129"/>
      <c r="Y39" s="129"/>
      <c r="Z39" s="129"/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  <c r="U40" s="129"/>
      <c r="V40" s="129"/>
      <c r="W40" s="129"/>
      <c r="X40" s="129"/>
      <c r="Y40" s="129"/>
      <c r="Z40" s="129"/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  <c r="U41" s="129"/>
      <c r="V41" s="129"/>
      <c r="W41" s="129"/>
      <c r="X41" s="129"/>
      <c r="Y41" s="129"/>
      <c r="Z41" s="129"/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0.0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45991.0</v>
      </c>
      <c r="U42" s="129"/>
      <c r="V42" s="129"/>
      <c r="W42" s="129"/>
      <c r="X42" s="129"/>
      <c r="Y42" s="129"/>
      <c r="Z42" s="129"/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850.0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46035.0</v>
      </c>
      <c r="U43" s="129"/>
      <c r="V43" s="129"/>
      <c r="W43" s="129"/>
      <c r="X43" s="129"/>
      <c r="Y43" s="129"/>
      <c r="Z43" s="129"/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725.0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45108.0</v>
      </c>
      <c r="T44" s="137"/>
      <c r="U44" s="129"/>
      <c r="V44" s="129"/>
      <c r="W44" s="129"/>
      <c r="X44" s="129"/>
      <c r="Y44" s="129"/>
      <c r="Z44" s="129"/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  <c r="U45" s="129"/>
      <c r="V45" s="129"/>
      <c r="W45" s="129"/>
      <c r="X45" s="129"/>
      <c r="Y45" s="129"/>
      <c r="Z45" s="129"/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1025.0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46009.0</v>
      </c>
      <c r="U46" s="129"/>
      <c r="V46" s="129"/>
      <c r="W46" s="129"/>
      <c r="X46" s="129"/>
      <c r="Y46" s="129"/>
      <c r="Z46" s="129"/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  <c r="U47" s="129"/>
      <c r="V47" s="129"/>
      <c r="W47" s="129"/>
      <c r="X47" s="129"/>
      <c r="Y47" s="129"/>
      <c r="Z47" s="129"/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45954.0</v>
      </c>
      <c r="U48" s="129"/>
      <c r="V48" s="129"/>
      <c r="W48" s="129"/>
      <c r="X48" s="129"/>
      <c r="Y48" s="129"/>
      <c r="Z48" s="129"/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  <c r="U49" s="129"/>
      <c r="V49" s="129"/>
      <c r="W49" s="129"/>
      <c r="X49" s="129"/>
      <c r="Y49" s="129"/>
      <c r="Z49" s="129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1025.0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45990.0</v>
      </c>
      <c r="U50" s="129"/>
      <c r="V50" s="129"/>
      <c r="W50" s="129"/>
      <c r="X50" s="129"/>
      <c r="Y50" s="129"/>
      <c r="Z50" s="129"/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  <c r="U51" s="129"/>
      <c r="V51" s="129"/>
      <c r="W51" s="129"/>
      <c r="X51" s="129"/>
      <c r="Y51" s="129"/>
      <c r="Z51" s="129"/>
    </row>
    <row r="52" ht="18.0" customHeight="1">
      <c r="A52" s="134" t="s">
        <v>75</v>
      </c>
      <c r="B52" s="134" t="s">
        <v>38</v>
      </c>
      <c r="C52" s="134" t="s">
        <v>47</v>
      </c>
      <c r="D52" s="135">
        <v>950.0</v>
      </c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7"/>
      <c r="T52" s="137"/>
      <c r="U52" s="129"/>
      <c r="V52" s="129"/>
      <c r="W52" s="129"/>
      <c r="X52" s="129"/>
      <c r="Y52" s="129"/>
      <c r="Z52" s="129"/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  <c r="U53" s="129"/>
      <c r="V53" s="129"/>
      <c r="W53" s="129"/>
      <c r="X53" s="129"/>
      <c r="Y53" s="129"/>
      <c r="Z53" s="129"/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800.0</v>
      </c>
      <c r="F54" s="136">
        <v>0.0</v>
      </c>
      <c r="G54" s="136">
        <v>0.0</v>
      </c>
      <c r="H54" s="136">
        <v>0.0</v>
      </c>
      <c r="I54" s="136">
        <v>800.0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45946.0</v>
      </c>
      <c r="U54" s="129"/>
      <c r="V54" s="129"/>
      <c r="W54" s="129"/>
      <c r="X54" s="129"/>
      <c r="Y54" s="129"/>
      <c r="Z54" s="129"/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850.0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  <c r="U55" s="129"/>
      <c r="V55" s="129"/>
      <c r="W55" s="129"/>
      <c r="X55" s="129"/>
      <c r="Y55" s="129"/>
      <c r="Z55" s="129"/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46081.0</v>
      </c>
      <c r="U56" s="129"/>
      <c r="V56" s="129"/>
      <c r="W56" s="129"/>
      <c r="X56" s="129"/>
      <c r="Y56" s="129"/>
      <c r="Z56" s="129"/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  <c r="U57" s="129"/>
      <c r="V57" s="129"/>
      <c r="W57" s="129"/>
      <c r="X57" s="129"/>
      <c r="Y57" s="129"/>
      <c r="Z57" s="129"/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750.0</v>
      </c>
      <c r="F58" s="136">
        <v>0.0</v>
      </c>
      <c r="G58" s="136">
        <v>0.0</v>
      </c>
      <c r="H58" s="136">
        <v>0.0</v>
      </c>
      <c r="I58" s="136">
        <v>750.0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46022.0</v>
      </c>
      <c r="U58" s="129"/>
      <c r="V58" s="129"/>
      <c r="W58" s="129"/>
      <c r="X58" s="129"/>
      <c r="Y58" s="129"/>
      <c r="Z58" s="129"/>
    </row>
    <row r="59" ht="18.0" customHeight="1">
      <c r="A59" s="134" t="s">
        <v>82</v>
      </c>
      <c r="B59" s="134" t="s">
        <v>56</v>
      </c>
      <c r="C59" s="134" t="s">
        <v>39</v>
      </c>
      <c r="D59" s="135">
        <v>700.0</v>
      </c>
      <c r="E59" s="136">
        <v>800.0</v>
      </c>
      <c r="F59" s="136">
        <v>800.0</v>
      </c>
      <c r="G59" s="136">
        <v>0.0</v>
      </c>
      <c r="H59" s="136">
        <v>0.0</v>
      </c>
      <c r="I59" s="136">
        <v>800.0</v>
      </c>
      <c r="J59" s="136">
        <v>0.0</v>
      </c>
      <c r="K59" s="136">
        <v>0.0</v>
      </c>
      <c r="L59" s="136">
        <v>0.0</v>
      </c>
      <c r="M59" s="136">
        <v>0.0</v>
      </c>
      <c r="N59" s="136">
        <v>0.0</v>
      </c>
      <c r="O59" s="136">
        <v>0.0</v>
      </c>
      <c r="P59" s="136">
        <v>0.0</v>
      </c>
      <c r="Q59" s="136">
        <v>0.0</v>
      </c>
      <c r="R59" s="136">
        <v>0.0</v>
      </c>
      <c r="S59" s="137">
        <v>45905.0</v>
      </c>
      <c r="T59" s="137">
        <v>46269.0</v>
      </c>
      <c r="U59" s="129"/>
      <c r="V59" s="129"/>
      <c r="W59" s="129"/>
      <c r="X59" s="129"/>
      <c r="Y59" s="129"/>
      <c r="Z59" s="129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1025.0</v>
      </c>
      <c r="F60" s="136">
        <v>240.83</v>
      </c>
      <c r="G60" s="136">
        <v>0.0</v>
      </c>
      <c r="H60" s="136">
        <v>0.0</v>
      </c>
      <c r="I60" s="136">
        <v>1025.0</v>
      </c>
      <c r="J60" s="136">
        <v>0.0</v>
      </c>
      <c r="K60" s="136">
        <v>0.0</v>
      </c>
      <c r="L60" s="136">
        <v>0.0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  <c r="U60" s="129"/>
      <c r="V60" s="129"/>
      <c r="W60" s="129"/>
      <c r="X60" s="129"/>
      <c r="Y60" s="129"/>
      <c r="Z60" s="129"/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925.0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  <c r="U61" s="129"/>
      <c r="V61" s="129"/>
      <c r="W61" s="129"/>
      <c r="X61" s="129"/>
      <c r="Y61" s="129"/>
      <c r="Z61" s="129"/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995.0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  <c r="U62" s="129"/>
      <c r="V62" s="129"/>
      <c r="W62" s="129"/>
      <c r="X62" s="129"/>
      <c r="Y62" s="129"/>
      <c r="Z62" s="129"/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  <c r="U63" s="129"/>
      <c r="V63" s="129"/>
      <c r="W63" s="129"/>
      <c r="X63" s="129"/>
      <c r="Y63" s="129"/>
      <c r="Z63" s="129"/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15.0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  <c r="U64" s="129"/>
      <c r="V64" s="129"/>
      <c r="W64" s="129"/>
      <c r="X64" s="129"/>
      <c r="Y64" s="129"/>
      <c r="Z64" s="129"/>
    </row>
    <row r="65" ht="18.0" customHeight="1">
      <c r="A65" s="134" t="s">
        <v>88</v>
      </c>
      <c r="B65" s="134" t="s">
        <v>56</v>
      </c>
      <c r="C65" s="134" t="s">
        <v>39</v>
      </c>
      <c r="D65" s="135">
        <v>700.0</v>
      </c>
      <c r="E65" s="136">
        <v>825.0</v>
      </c>
      <c r="F65" s="136">
        <v>1070.0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  <c r="U65" s="129"/>
      <c r="V65" s="129"/>
      <c r="W65" s="129"/>
      <c r="X65" s="129"/>
      <c r="Y65" s="129"/>
      <c r="Z65" s="129"/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  <c r="U66" s="129"/>
      <c r="V66" s="129"/>
      <c r="W66" s="129"/>
      <c r="X66" s="129"/>
      <c r="Y66" s="129"/>
      <c r="Z66" s="129"/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46077.0</v>
      </c>
      <c r="U67" s="129"/>
      <c r="V67" s="129"/>
      <c r="W67" s="129"/>
      <c r="X67" s="129"/>
      <c r="Y67" s="129"/>
      <c r="Z67" s="129"/>
    </row>
    <row r="68" ht="18.0" customHeight="1">
      <c r="A68" s="134" t="s">
        <v>91</v>
      </c>
      <c r="B68" s="134" t="s">
        <v>38</v>
      </c>
      <c r="C68" s="134" t="s">
        <v>39</v>
      </c>
      <c r="D68" s="135">
        <v>950.0</v>
      </c>
      <c r="E68" s="136">
        <v>800.0</v>
      </c>
      <c r="F68" s="136">
        <v>800.0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  <c r="U68" s="129"/>
      <c r="V68" s="129"/>
      <c r="W68" s="129"/>
      <c r="X68" s="129"/>
      <c r="Y68" s="129"/>
      <c r="Z68" s="129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1600.0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  <c r="U69" s="129"/>
      <c r="V69" s="129"/>
      <c r="W69" s="129"/>
      <c r="X69" s="129"/>
      <c r="Y69" s="129"/>
      <c r="Z69" s="129"/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700.0</v>
      </c>
      <c r="F70" s="136">
        <v>0.0</v>
      </c>
      <c r="G70" s="136">
        <v>0.0</v>
      </c>
      <c r="H70" s="136">
        <v>0.0</v>
      </c>
      <c r="I70" s="136">
        <v>700.0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/>
      <c r="U70" s="129"/>
      <c r="V70" s="129"/>
      <c r="W70" s="129"/>
      <c r="X70" s="129"/>
      <c r="Y70" s="129"/>
      <c r="Z70" s="129"/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  <c r="U71" s="129"/>
      <c r="V71" s="129"/>
      <c r="W71" s="129"/>
      <c r="X71" s="129"/>
      <c r="Y71" s="129"/>
      <c r="Z71" s="129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1025.0</v>
      </c>
      <c r="F72" s="136">
        <v>2873.19</v>
      </c>
      <c r="G72" s="136">
        <v>0.0</v>
      </c>
      <c r="H72" s="136">
        <v>0.0</v>
      </c>
      <c r="I72" s="136">
        <v>1025.0</v>
      </c>
      <c r="J72" s="136">
        <v>0.0</v>
      </c>
      <c r="K72" s="136">
        <v>0.0</v>
      </c>
      <c r="L72" s="136">
        <v>0.0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  <c r="U72" s="129"/>
      <c r="V72" s="129"/>
      <c r="W72" s="129"/>
      <c r="X72" s="129"/>
      <c r="Y72" s="129"/>
      <c r="Z72" s="129"/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  <c r="U73" s="129"/>
      <c r="V73" s="129"/>
      <c r="W73" s="129"/>
      <c r="X73" s="129"/>
      <c r="Y73" s="129"/>
      <c r="Z73" s="129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  <c r="U74" s="129"/>
      <c r="V74" s="129"/>
      <c r="W74" s="129"/>
      <c r="X74" s="129"/>
      <c r="Y74" s="129"/>
      <c r="Z74" s="129"/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500.0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46094.0</v>
      </c>
      <c r="U75" s="129"/>
      <c r="V75" s="129"/>
      <c r="W75" s="129"/>
      <c r="X75" s="129"/>
      <c r="Y75" s="129"/>
      <c r="Z75" s="129"/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28735.0</v>
      </c>
      <c r="F76" s="140">
        <v>14294.02</v>
      </c>
      <c r="G76" s="140">
        <v>0.0</v>
      </c>
      <c r="H76" s="140">
        <v>0.0</v>
      </c>
      <c r="I76" s="140">
        <v>28670.0</v>
      </c>
      <c r="J76" s="140">
        <v>0.0</v>
      </c>
      <c r="K76" s="140">
        <v>0.0</v>
      </c>
      <c r="L76" s="140">
        <v>0.0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  <c r="U76" s="129"/>
      <c r="V76" s="129"/>
      <c r="W76" s="129"/>
      <c r="X76" s="129"/>
      <c r="Y76" s="129"/>
      <c r="Z76" s="129"/>
    </row>
    <row r="77" ht="18.0" customHeight="1">
      <c r="A77" s="133" t="s">
        <v>101</v>
      </c>
      <c r="U77" s="129"/>
      <c r="V77" s="129"/>
      <c r="W77" s="129"/>
      <c r="X77" s="129"/>
      <c r="Y77" s="129"/>
      <c r="Z77" s="129"/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900.0</v>
      </c>
      <c r="F78" s="136">
        <v>0.0</v>
      </c>
      <c r="G78" s="136">
        <v>0.0</v>
      </c>
      <c r="H78" s="136">
        <v>0.0</v>
      </c>
      <c r="I78" s="136">
        <v>44.0</v>
      </c>
      <c r="J78" s="136">
        <v>0.0</v>
      </c>
      <c r="K78" s="136">
        <v>0.0</v>
      </c>
      <c r="L78" s="136">
        <v>856.0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  <c r="U78" s="129"/>
      <c r="V78" s="129"/>
      <c r="W78" s="129"/>
      <c r="X78" s="129"/>
      <c r="Y78" s="129"/>
      <c r="Z78" s="129"/>
    </row>
    <row r="79" ht="18.0" customHeight="1">
      <c r="A79" s="134" t="s">
        <v>103</v>
      </c>
      <c r="B79" s="134" t="s">
        <v>104</v>
      </c>
      <c r="C79" s="134" t="s">
        <v>47</v>
      </c>
      <c r="D79" s="135">
        <v>1400.0</v>
      </c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7"/>
      <c r="T79" s="137"/>
      <c r="U79" s="129"/>
      <c r="V79" s="129"/>
      <c r="W79" s="129"/>
      <c r="X79" s="129"/>
      <c r="Y79" s="129"/>
      <c r="Z79" s="129"/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-2.0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  <c r="U80" s="129"/>
      <c r="V80" s="129"/>
      <c r="W80" s="129"/>
      <c r="X80" s="129"/>
      <c r="Y80" s="129"/>
      <c r="Z80" s="129"/>
    </row>
    <row r="81" ht="18.0" customHeight="1">
      <c r="A81" s="134" t="s">
        <v>106</v>
      </c>
      <c r="B81" s="134" t="s">
        <v>38</v>
      </c>
      <c r="C81" s="134" t="s">
        <v>107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46073.0</v>
      </c>
      <c r="U81" s="129"/>
      <c r="V81" s="129"/>
      <c r="W81" s="129"/>
      <c r="X81" s="129"/>
      <c r="Y81" s="129"/>
      <c r="Z81" s="129"/>
    </row>
    <row r="82" ht="18.0" customHeight="1">
      <c r="A82" s="134" t="s">
        <v>108</v>
      </c>
      <c r="B82" s="134" t="s">
        <v>104</v>
      </c>
      <c r="C82" s="134" t="s">
        <v>39</v>
      </c>
      <c r="D82" s="135">
        <v>1400.0</v>
      </c>
      <c r="E82" s="136">
        <v>1250.0</v>
      </c>
      <c r="F82" s="136">
        <v>1250.0</v>
      </c>
      <c r="G82" s="136">
        <v>0.0</v>
      </c>
      <c r="H82" s="136">
        <v>0.0</v>
      </c>
      <c r="I82" s="136">
        <v>1250.0</v>
      </c>
      <c r="J82" s="136">
        <v>0.0</v>
      </c>
      <c r="K82" s="136">
        <v>0.0</v>
      </c>
      <c r="L82" s="136">
        <v>0.0</v>
      </c>
      <c r="M82" s="136">
        <v>0.0</v>
      </c>
      <c r="N82" s="136">
        <v>0.0</v>
      </c>
      <c r="O82" s="136">
        <v>0.0</v>
      </c>
      <c r="P82" s="136">
        <v>0.0</v>
      </c>
      <c r="Q82" s="136">
        <v>0.0</v>
      </c>
      <c r="R82" s="136">
        <v>0.0</v>
      </c>
      <c r="S82" s="137">
        <v>45221.0</v>
      </c>
      <c r="T82" s="137">
        <v>45951.0</v>
      </c>
      <c r="U82" s="129"/>
      <c r="V82" s="129"/>
      <c r="W82" s="129"/>
      <c r="X82" s="129"/>
      <c r="Y82" s="129"/>
      <c r="Z82" s="129"/>
    </row>
    <row r="83" ht="18.0" customHeight="1">
      <c r="A83" s="134" t="s">
        <v>109</v>
      </c>
      <c r="B83" s="134" t="s">
        <v>38</v>
      </c>
      <c r="C83" s="134" t="s">
        <v>47</v>
      </c>
      <c r="D83" s="135">
        <v>1400.0</v>
      </c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7"/>
      <c r="T83" s="137"/>
      <c r="U83" s="129"/>
      <c r="V83" s="129"/>
      <c r="W83" s="129"/>
      <c r="X83" s="129"/>
      <c r="Y83" s="129"/>
      <c r="Z83" s="129"/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54.99</v>
      </c>
      <c r="G84" s="136">
        <v>0.0</v>
      </c>
      <c r="H84" s="136">
        <v>0.0</v>
      </c>
      <c r="I84" s="136">
        <v>61.0</v>
      </c>
      <c r="J84" s="136">
        <v>0.0</v>
      </c>
      <c r="K84" s="136">
        <v>0.0</v>
      </c>
      <c r="L84" s="136">
        <v>839.0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/>
      <c r="U84" s="129"/>
      <c r="V84" s="129"/>
      <c r="W84" s="129"/>
      <c r="X84" s="129"/>
      <c r="Y84" s="129"/>
      <c r="Z84" s="129"/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  <c r="U85" s="129"/>
      <c r="V85" s="129"/>
      <c r="W85" s="129"/>
      <c r="X85" s="129"/>
      <c r="Y85" s="129"/>
      <c r="Z85" s="129"/>
    </row>
    <row r="86" ht="18.0" customHeight="1">
      <c r="A86" s="134" t="s">
        <v>112</v>
      </c>
      <c r="B86" s="134" t="s">
        <v>38</v>
      </c>
      <c r="C86" s="134" t="s">
        <v>47</v>
      </c>
      <c r="D86" s="135">
        <v>1400.0</v>
      </c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7"/>
      <c r="T86" s="137"/>
      <c r="U86" s="129"/>
      <c r="V86" s="129"/>
      <c r="W86" s="129"/>
      <c r="X86" s="129"/>
      <c r="Y86" s="129"/>
      <c r="Z86" s="129"/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900.0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  <c r="U87" s="129"/>
      <c r="V87" s="129"/>
      <c r="W87" s="129"/>
      <c r="X87" s="129"/>
      <c r="Y87" s="129"/>
      <c r="Z87" s="129"/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1855.0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  <c r="U88" s="129"/>
      <c r="V88" s="129"/>
      <c r="W88" s="129"/>
      <c r="X88" s="129"/>
      <c r="Y88" s="129"/>
      <c r="Z88" s="129"/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  <c r="U89" s="129"/>
      <c r="V89" s="129"/>
      <c r="W89" s="129"/>
      <c r="X89" s="129"/>
      <c r="Y89" s="129"/>
      <c r="Z89" s="129"/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-1100.0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  <c r="U90" s="129"/>
      <c r="V90" s="129"/>
      <c r="W90" s="129"/>
      <c r="X90" s="129"/>
      <c r="Y90" s="129"/>
      <c r="Z90" s="129"/>
    </row>
    <row r="91" ht="18.0" customHeight="1">
      <c r="A91" s="134" t="s">
        <v>118</v>
      </c>
      <c r="B91" s="134" t="s">
        <v>104</v>
      </c>
      <c r="C91" s="134" t="s">
        <v>47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  <c r="U91" s="129"/>
      <c r="V91" s="129"/>
      <c r="W91" s="129"/>
      <c r="X91" s="129"/>
      <c r="Y91" s="129"/>
      <c r="Z91" s="129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  <c r="U92" s="129"/>
      <c r="V92" s="129"/>
      <c r="W92" s="129"/>
      <c r="X92" s="129"/>
      <c r="Y92" s="129"/>
      <c r="Z92" s="129"/>
    </row>
    <row r="93" ht="18.0" customHeight="1">
      <c r="A93" s="134" t="s">
        <v>120</v>
      </c>
      <c r="B93" s="134" t="s">
        <v>38</v>
      </c>
      <c r="C93" s="134" t="s">
        <v>39</v>
      </c>
      <c r="D93" s="135">
        <v>1400.0</v>
      </c>
      <c r="E93" s="136">
        <v>1150.0</v>
      </c>
      <c r="F93" s="136">
        <v>35.0</v>
      </c>
      <c r="G93" s="136">
        <v>0.0</v>
      </c>
      <c r="H93" s="136">
        <v>0.0</v>
      </c>
      <c r="I93" s="136">
        <v>1150.0</v>
      </c>
      <c r="J93" s="136">
        <v>0.0</v>
      </c>
      <c r="K93" s="136">
        <v>0.0</v>
      </c>
      <c r="L93" s="136">
        <v>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  <c r="U93" s="129"/>
      <c r="V93" s="129"/>
      <c r="W93" s="129"/>
      <c r="X93" s="129"/>
      <c r="Y93" s="129"/>
      <c r="Z93" s="129"/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2100.0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  <c r="U94" s="129"/>
      <c r="V94" s="129"/>
      <c r="W94" s="129"/>
      <c r="X94" s="129"/>
      <c r="Y94" s="129"/>
      <c r="Z94" s="129"/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20.0</v>
      </c>
      <c r="G95" s="136">
        <v>0.0</v>
      </c>
      <c r="H95" s="136">
        <v>0.0</v>
      </c>
      <c r="I95" s="136">
        <v>280.0</v>
      </c>
      <c r="J95" s="136">
        <v>0.0</v>
      </c>
      <c r="K95" s="136">
        <v>0.0</v>
      </c>
      <c r="L95" s="136">
        <v>620.0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/>
      <c r="U95" s="129"/>
      <c r="V95" s="129"/>
      <c r="W95" s="129"/>
      <c r="X95" s="129"/>
      <c r="Y95" s="129"/>
      <c r="Z95" s="129"/>
    </row>
    <row r="96" ht="18.0" customHeight="1">
      <c r="A96" s="134" t="s">
        <v>123</v>
      </c>
      <c r="B96" s="134" t="s">
        <v>115</v>
      </c>
      <c r="C96" s="134" t="s">
        <v>47</v>
      </c>
      <c r="D96" s="135">
        <v>1400.0</v>
      </c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7"/>
      <c r="T96" s="137"/>
      <c r="U96" s="129"/>
      <c r="V96" s="129"/>
      <c r="W96" s="129"/>
      <c r="X96" s="129"/>
      <c r="Y96" s="129"/>
      <c r="Z96" s="129"/>
    </row>
    <row r="97" ht="18.0" customHeight="1">
      <c r="A97" s="134" t="s">
        <v>124</v>
      </c>
      <c r="B97" s="134" t="s">
        <v>115</v>
      </c>
      <c r="C97" s="134" t="s">
        <v>39</v>
      </c>
      <c r="D97" s="135">
        <v>1400.0</v>
      </c>
      <c r="E97" s="136">
        <v>1300.0</v>
      </c>
      <c r="F97" s="136">
        <v>2420.0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  <c r="U97" s="129"/>
      <c r="V97" s="129"/>
      <c r="W97" s="129"/>
      <c r="X97" s="129"/>
      <c r="Y97" s="129"/>
      <c r="Z97" s="129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  <c r="U98" s="129"/>
      <c r="V98" s="129"/>
      <c r="W98" s="129"/>
      <c r="X98" s="129"/>
      <c r="Y98" s="129"/>
      <c r="Z98" s="129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1110.0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  <c r="U99" s="129"/>
      <c r="V99" s="129"/>
      <c r="W99" s="129"/>
      <c r="X99" s="129"/>
      <c r="Y99" s="129"/>
      <c r="Z99" s="129"/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-25.0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  <c r="U100" s="129"/>
      <c r="V100" s="129"/>
      <c r="W100" s="129"/>
      <c r="X100" s="129"/>
      <c r="Y100" s="129"/>
      <c r="Z100" s="129"/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1350.0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/>
      <c r="U101" s="129"/>
      <c r="V101" s="129"/>
      <c r="W101" s="129"/>
      <c r="X101" s="129"/>
      <c r="Y101" s="129"/>
      <c r="Z101" s="129"/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  <c r="U102" s="129"/>
      <c r="V102" s="129"/>
      <c r="W102" s="129"/>
      <c r="X102" s="129"/>
      <c r="Y102" s="129"/>
      <c r="Z102" s="129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1350.0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  <c r="U103" s="129"/>
      <c r="V103" s="129"/>
      <c r="W103" s="129"/>
      <c r="X103" s="129"/>
      <c r="Y103" s="129"/>
      <c r="Z103" s="129"/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  <c r="U104" s="129"/>
      <c r="V104" s="129"/>
      <c r="W104" s="129"/>
      <c r="X104" s="129"/>
      <c r="Y104" s="129"/>
      <c r="Z104" s="129"/>
    </row>
    <row r="105" ht="18.0" customHeight="1">
      <c r="A105" s="134" t="s">
        <v>132</v>
      </c>
      <c r="B105" s="134" t="s">
        <v>38</v>
      </c>
      <c r="C105" s="134" t="s">
        <v>39</v>
      </c>
      <c r="D105" s="135">
        <v>1400.0</v>
      </c>
      <c r="E105" s="136">
        <v>1000.0</v>
      </c>
      <c r="F105" s="136">
        <v>1490.0</v>
      </c>
      <c r="G105" s="136">
        <v>0.0</v>
      </c>
      <c r="H105" s="136">
        <v>0.0</v>
      </c>
      <c r="I105" s="136">
        <v>1000.0</v>
      </c>
      <c r="J105" s="136">
        <v>0.0</v>
      </c>
      <c r="K105" s="136">
        <v>0.0</v>
      </c>
      <c r="L105" s="136">
        <v>0.0</v>
      </c>
      <c r="M105" s="136">
        <v>0.0</v>
      </c>
      <c r="N105" s="136">
        <v>0.0</v>
      </c>
      <c r="O105" s="136">
        <v>0.0</v>
      </c>
      <c r="P105" s="136">
        <v>0.0</v>
      </c>
      <c r="Q105" s="136">
        <v>0.0</v>
      </c>
      <c r="R105" s="136">
        <v>0.0</v>
      </c>
      <c r="S105" s="137">
        <v>45138.0</v>
      </c>
      <c r="T105" s="137">
        <v>46112.0</v>
      </c>
      <c r="U105" s="129"/>
      <c r="V105" s="129"/>
      <c r="W105" s="129"/>
      <c r="X105" s="129"/>
      <c r="Y105" s="129"/>
      <c r="Z105" s="129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45961.0</v>
      </c>
      <c r="U106" s="129"/>
      <c r="V106" s="129"/>
      <c r="W106" s="129"/>
      <c r="X106" s="129"/>
      <c r="Y106" s="129"/>
      <c r="Z106" s="129"/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0.0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  <c r="U107" s="129"/>
      <c r="V107" s="129"/>
      <c r="W107" s="129"/>
      <c r="X107" s="129"/>
      <c r="Y107" s="129"/>
      <c r="Z107" s="129"/>
    </row>
    <row r="108" ht="18.0" customHeight="1">
      <c r="A108" s="134" t="s">
        <v>135</v>
      </c>
      <c r="B108" s="134" t="s">
        <v>38</v>
      </c>
      <c r="C108" s="134" t="s">
        <v>47</v>
      </c>
      <c r="D108" s="135">
        <v>1400.0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7"/>
      <c r="T108" s="137"/>
      <c r="U108" s="129"/>
      <c r="V108" s="129"/>
      <c r="W108" s="129"/>
      <c r="X108" s="129"/>
      <c r="Y108" s="129"/>
      <c r="Z108" s="129"/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  <c r="U109" s="129"/>
      <c r="V109" s="129"/>
      <c r="W109" s="129"/>
      <c r="X109" s="129"/>
      <c r="Y109" s="129"/>
      <c r="Z109" s="129"/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  <c r="U110" s="129"/>
      <c r="V110" s="129"/>
      <c r="W110" s="129"/>
      <c r="X110" s="129"/>
      <c r="Y110" s="129"/>
      <c r="Z110" s="129"/>
    </row>
    <row r="111" ht="18.0" customHeight="1">
      <c r="A111" s="134" t="s">
        <v>138</v>
      </c>
      <c r="B111" s="134" t="s">
        <v>38</v>
      </c>
      <c r="C111" s="134" t="s">
        <v>39</v>
      </c>
      <c r="D111" s="135">
        <v>1400.0</v>
      </c>
      <c r="E111" s="136">
        <v>1000.0</v>
      </c>
      <c r="F111" s="136">
        <v>0.0</v>
      </c>
      <c r="G111" s="136">
        <v>0.0</v>
      </c>
      <c r="H111" s="136">
        <v>0.0</v>
      </c>
      <c r="I111" s="136">
        <v>1000.0</v>
      </c>
      <c r="J111" s="136">
        <v>0.0</v>
      </c>
      <c r="K111" s="136">
        <v>0.0</v>
      </c>
      <c r="L111" s="136">
        <v>0.0</v>
      </c>
      <c r="M111" s="136">
        <v>0.0</v>
      </c>
      <c r="N111" s="136">
        <v>0.0</v>
      </c>
      <c r="O111" s="136">
        <v>0.0</v>
      </c>
      <c r="P111" s="136">
        <v>0.0</v>
      </c>
      <c r="Q111" s="136">
        <v>0.0</v>
      </c>
      <c r="R111" s="136">
        <v>0.0</v>
      </c>
      <c r="S111" s="137">
        <v>44998.0</v>
      </c>
      <c r="T111" s="137">
        <v>46099.0</v>
      </c>
      <c r="U111" s="129"/>
      <c r="V111" s="129"/>
      <c r="W111" s="129"/>
      <c r="X111" s="129"/>
      <c r="Y111" s="129"/>
      <c r="Z111" s="129"/>
    </row>
    <row r="112" ht="18.0" customHeight="1">
      <c r="A112" s="134" t="s">
        <v>139</v>
      </c>
      <c r="B112" s="134" t="s">
        <v>104</v>
      </c>
      <c r="C112" s="134" t="s">
        <v>39</v>
      </c>
      <c r="D112" s="135">
        <v>1400.0</v>
      </c>
      <c r="E112" s="136">
        <v>1100.0</v>
      </c>
      <c r="F112" s="136">
        <v>650.0</v>
      </c>
      <c r="G112" s="136">
        <v>0.0</v>
      </c>
      <c r="H112" s="136">
        <v>0.0</v>
      </c>
      <c r="I112" s="136">
        <v>778.0</v>
      </c>
      <c r="J112" s="136">
        <v>0.0</v>
      </c>
      <c r="K112" s="136">
        <v>0.0</v>
      </c>
      <c r="L112" s="136">
        <v>322.0</v>
      </c>
      <c r="M112" s="136">
        <v>0.0</v>
      </c>
      <c r="N112" s="136">
        <v>0.0</v>
      </c>
      <c r="O112" s="136">
        <v>0.0</v>
      </c>
      <c r="P112" s="136">
        <v>0.0</v>
      </c>
      <c r="Q112" s="136">
        <v>0.0</v>
      </c>
      <c r="R112" s="136">
        <v>0.0</v>
      </c>
      <c r="S112" s="137">
        <v>45225.0</v>
      </c>
      <c r="T112" s="137"/>
      <c r="U112" s="129"/>
      <c r="V112" s="129"/>
      <c r="W112" s="129"/>
      <c r="X112" s="129"/>
      <c r="Y112" s="129"/>
      <c r="Z112" s="129"/>
    </row>
    <row r="113" ht="18.0" customHeight="1">
      <c r="A113" s="134" t="s">
        <v>140</v>
      </c>
      <c r="B113" s="134" t="s">
        <v>38</v>
      </c>
      <c r="C113" s="134" t="s">
        <v>47</v>
      </c>
      <c r="D113" s="135">
        <v>1400.0</v>
      </c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7"/>
      <c r="T113" s="137"/>
      <c r="U113" s="129"/>
      <c r="V113" s="129"/>
      <c r="W113" s="129"/>
      <c r="X113" s="129"/>
      <c r="Y113" s="129"/>
      <c r="Z113" s="129"/>
    </row>
    <row r="114" ht="18.0" customHeight="1">
      <c r="A114" s="134" t="s">
        <v>141</v>
      </c>
      <c r="B114" s="134" t="s">
        <v>38</v>
      </c>
      <c r="C114" s="134" t="s">
        <v>39</v>
      </c>
      <c r="D114" s="135">
        <v>1400.0</v>
      </c>
      <c r="E114" s="136">
        <v>900.0</v>
      </c>
      <c r="F114" s="136">
        <v>2700.0</v>
      </c>
      <c r="G114" s="136">
        <v>0.0</v>
      </c>
      <c r="H114" s="136">
        <v>0.0</v>
      </c>
      <c r="I114" s="136">
        <v>0.0</v>
      </c>
      <c r="J114" s="136">
        <v>0.0</v>
      </c>
      <c r="K114" s="136">
        <v>0.0</v>
      </c>
      <c r="L114" s="136">
        <v>900.0</v>
      </c>
      <c r="M114" s="136">
        <v>0.0</v>
      </c>
      <c r="N114" s="136">
        <v>0.0</v>
      </c>
      <c r="O114" s="136">
        <v>0.0</v>
      </c>
      <c r="P114" s="136">
        <v>0.0</v>
      </c>
      <c r="Q114" s="136">
        <v>0.0</v>
      </c>
      <c r="R114" s="136">
        <v>0.0</v>
      </c>
      <c r="S114" s="137">
        <v>45231.0</v>
      </c>
      <c r="T114" s="137"/>
      <c r="U114" s="129"/>
      <c r="V114" s="129"/>
      <c r="W114" s="129"/>
      <c r="X114" s="129"/>
      <c r="Y114" s="129"/>
      <c r="Z114" s="129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1040.0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44866.0</v>
      </c>
      <c r="T115" s="137"/>
      <c r="U115" s="129"/>
      <c r="V115" s="129"/>
      <c r="W115" s="129"/>
      <c r="X115" s="129"/>
      <c r="Y115" s="129"/>
      <c r="Z115" s="129"/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-8.0</v>
      </c>
      <c r="G116" s="136">
        <v>0.0</v>
      </c>
      <c r="H116" s="136">
        <v>0.0</v>
      </c>
      <c r="I116" s="136">
        <v>89.0</v>
      </c>
      <c r="J116" s="136">
        <v>0.0</v>
      </c>
      <c r="K116" s="136">
        <v>0.0</v>
      </c>
      <c r="L116" s="136">
        <v>886.0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45047.0</v>
      </c>
      <c r="T116" s="137"/>
      <c r="U116" s="129"/>
      <c r="V116" s="129"/>
      <c r="W116" s="129"/>
      <c r="X116" s="129"/>
      <c r="Y116" s="129"/>
      <c r="Z116" s="129"/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  <c r="U117" s="129"/>
      <c r="V117" s="129"/>
      <c r="W117" s="129"/>
      <c r="X117" s="129"/>
      <c r="Y117" s="129"/>
      <c r="Z117" s="129"/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1468.0</v>
      </c>
      <c r="G118" s="136">
        <v>0.0</v>
      </c>
      <c r="H118" s="136">
        <v>0.0</v>
      </c>
      <c r="I118" s="136">
        <v>559.0</v>
      </c>
      <c r="J118" s="136">
        <v>0.0</v>
      </c>
      <c r="K118" s="136">
        <v>0.0</v>
      </c>
      <c r="L118" s="136">
        <v>791.0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  <c r="U118" s="129"/>
      <c r="V118" s="129"/>
      <c r="W118" s="129"/>
      <c r="X118" s="129"/>
      <c r="Y118" s="129"/>
      <c r="Z118" s="129"/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  <c r="U119" s="129"/>
      <c r="V119" s="129"/>
      <c r="W119" s="129"/>
      <c r="X119" s="129"/>
      <c r="Y119" s="129"/>
      <c r="Z119" s="129"/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  <c r="U120" s="129"/>
      <c r="V120" s="129"/>
      <c r="W120" s="129"/>
      <c r="X120" s="129"/>
      <c r="Y120" s="129"/>
      <c r="Z120" s="129"/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990.0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  <c r="U121" s="129"/>
      <c r="V121" s="129"/>
      <c r="W121" s="129"/>
      <c r="X121" s="129"/>
      <c r="Y121" s="129"/>
      <c r="Z121" s="129"/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  <c r="U122" s="129"/>
      <c r="V122" s="129"/>
      <c r="W122" s="129"/>
      <c r="X122" s="129"/>
      <c r="Y122" s="129"/>
      <c r="Z122" s="129"/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420.0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  <c r="U123" s="129"/>
      <c r="V123" s="129"/>
      <c r="W123" s="129"/>
      <c r="X123" s="129"/>
      <c r="Y123" s="129"/>
      <c r="Z123" s="129"/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/>
      <c r="U124" s="129"/>
      <c r="V124" s="129"/>
      <c r="W124" s="129"/>
      <c r="X124" s="129"/>
      <c r="Y124" s="129"/>
      <c r="Z124" s="129"/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1350.0</v>
      </c>
      <c r="F125" s="136">
        <v>-84.0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  <c r="U125" s="129"/>
      <c r="V125" s="129"/>
      <c r="W125" s="129"/>
      <c r="X125" s="129"/>
      <c r="Y125" s="129"/>
      <c r="Z125" s="129"/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1420.0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  <c r="U126" s="129"/>
      <c r="V126" s="129"/>
      <c r="W126" s="129"/>
      <c r="X126" s="129"/>
      <c r="Y126" s="129"/>
      <c r="Z126" s="129"/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0.0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  <c r="U127" s="129"/>
      <c r="V127" s="129"/>
      <c r="W127" s="129"/>
      <c r="X127" s="129"/>
      <c r="Y127" s="129"/>
      <c r="Z127" s="129"/>
    </row>
    <row r="128" ht="18.0" customHeight="1">
      <c r="A128" s="134" t="s">
        <v>155</v>
      </c>
      <c r="B128" s="134" t="s">
        <v>115</v>
      </c>
      <c r="C128" s="134" t="s">
        <v>39</v>
      </c>
      <c r="D128" s="135">
        <v>1400.0</v>
      </c>
      <c r="E128" s="136">
        <v>1000.0</v>
      </c>
      <c r="F128" s="136">
        <v>1000.0</v>
      </c>
      <c r="G128" s="136">
        <v>0.0</v>
      </c>
      <c r="H128" s="136">
        <v>0.0</v>
      </c>
      <c r="I128" s="136">
        <v>1000.0</v>
      </c>
      <c r="J128" s="136">
        <v>0.0</v>
      </c>
      <c r="K128" s="136">
        <v>0.0</v>
      </c>
      <c r="L128" s="136">
        <v>0.0</v>
      </c>
      <c r="M128" s="136">
        <v>0.0</v>
      </c>
      <c r="N128" s="136">
        <v>0.0</v>
      </c>
      <c r="O128" s="136">
        <v>0.0</v>
      </c>
      <c r="P128" s="136">
        <v>0.0</v>
      </c>
      <c r="Q128" s="136">
        <v>0.0</v>
      </c>
      <c r="R128" s="136">
        <v>0.0</v>
      </c>
      <c r="S128" s="137">
        <v>44927.0</v>
      </c>
      <c r="T128" s="137"/>
      <c r="U128" s="129"/>
      <c r="V128" s="129"/>
      <c r="W128" s="129"/>
      <c r="X128" s="129"/>
      <c r="Y128" s="129"/>
      <c r="Z128" s="129"/>
    </row>
    <row r="129" ht="18.0" customHeight="1">
      <c r="A129" s="138" t="s">
        <v>156</v>
      </c>
      <c r="B129" s="138"/>
      <c r="C129" s="138" t="s">
        <v>157</v>
      </c>
      <c r="D129" s="139">
        <v>71400.0</v>
      </c>
      <c r="E129" s="140">
        <v>44485.0</v>
      </c>
      <c r="F129" s="140">
        <v>22403.99</v>
      </c>
      <c r="G129" s="140">
        <v>0.0</v>
      </c>
      <c r="H129" s="140">
        <v>0.0</v>
      </c>
      <c r="I129" s="140">
        <v>37681.0</v>
      </c>
      <c r="J129" s="140">
        <v>0.0</v>
      </c>
      <c r="K129" s="140">
        <v>0.0</v>
      </c>
      <c r="L129" s="140">
        <v>6804.0</v>
      </c>
      <c r="M129" s="140">
        <v>0.0</v>
      </c>
      <c r="N129" s="140">
        <v>0.0</v>
      </c>
      <c r="O129" s="140">
        <v>0.0</v>
      </c>
      <c r="P129" s="140">
        <v>0.0</v>
      </c>
      <c r="Q129" s="140">
        <v>0.0</v>
      </c>
      <c r="R129" s="140">
        <v>0.0</v>
      </c>
      <c r="S129" s="141"/>
      <c r="T129" s="141"/>
      <c r="U129" s="129"/>
      <c r="V129" s="129"/>
      <c r="W129" s="129"/>
      <c r="X129" s="129"/>
      <c r="Y129" s="129"/>
      <c r="Z129" s="129"/>
    </row>
    <row r="130" ht="18.0" customHeight="1">
      <c r="A130" s="133" t="s">
        <v>158</v>
      </c>
      <c r="U130" s="129"/>
      <c r="V130" s="129"/>
      <c r="W130" s="129"/>
      <c r="X130" s="129"/>
      <c r="Y130" s="129"/>
      <c r="Z130" s="129"/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1233.0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  <c r="U131" s="129"/>
      <c r="V131" s="129"/>
      <c r="W131" s="129"/>
      <c r="X131" s="129"/>
      <c r="Y131" s="129"/>
      <c r="Z131" s="129"/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900.0</v>
      </c>
      <c r="G132" s="136">
        <v>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900.0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  <c r="U132" s="129"/>
      <c r="V132" s="129"/>
      <c r="W132" s="129"/>
      <c r="X132" s="129"/>
      <c r="Y132" s="129"/>
      <c r="Z132" s="129"/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703.0</v>
      </c>
      <c r="F133" s="136">
        <v>573.0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271.0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  <c r="U133" s="129"/>
      <c r="V133" s="129"/>
      <c r="W133" s="129"/>
      <c r="X133" s="129"/>
      <c r="Y133" s="129"/>
      <c r="Z133" s="129"/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  <c r="U134" s="129"/>
      <c r="V134" s="129"/>
      <c r="W134" s="129"/>
      <c r="X134" s="129"/>
      <c r="Y134" s="129"/>
      <c r="Z134" s="129"/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738.0</v>
      </c>
      <c r="F135" s="136">
        <v>626.0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398.0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  <c r="U135" s="129"/>
      <c r="V135" s="129"/>
      <c r="W135" s="129"/>
      <c r="X135" s="129"/>
      <c r="Y135" s="129"/>
      <c r="Z135" s="129"/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-50.0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  <c r="U136" s="129"/>
      <c r="V136" s="129"/>
      <c r="W136" s="129"/>
      <c r="X136" s="129"/>
      <c r="Y136" s="129"/>
      <c r="Z136" s="129"/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1805.5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  <c r="U137" s="129"/>
      <c r="V137" s="129"/>
      <c r="W137" s="129"/>
      <c r="X137" s="129"/>
      <c r="Y137" s="129"/>
      <c r="Z137" s="129"/>
    </row>
    <row r="138" ht="18.0" customHeight="1">
      <c r="A138" s="134" t="s">
        <v>166</v>
      </c>
      <c r="B138" s="134" t="s">
        <v>56</v>
      </c>
      <c r="C138" s="134" t="s">
        <v>47</v>
      </c>
      <c r="D138" s="135">
        <v>800.0</v>
      </c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7"/>
      <c r="T138" s="137"/>
      <c r="U138" s="129"/>
      <c r="V138" s="129"/>
      <c r="W138" s="129"/>
      <c r="X138" s="129"/>
      <c r="Y138" s="129"/>
      <c r="Z138" s="129"/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50.0</v>
      </c>
      <c r="F139" s="136">
        <v>110.0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/>
      <c r="U139" s="129"/>
      <c r="V139" s="129"/>
      <c r="W139" s="129"/>
      <c r="X139" s="129"/>
      <c r="Y139" s="129"/>
      <c r="Z139" s="129"/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0.0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  <c r="U140" s="129"/>
      <c r="V140" s="129"/>
      <c r="W140" s="129"/>
      <c r="X140" s="129"/>
      <c r="Y140" s="129"/>
      <c r="Z140" s="129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1175.0</v>
      </c>
      <c r="F141" s="136">
        <v>1225.0</v>
      </c>
      <c r="G141" s="136">
        <v>0.0</v>
      </c>
      <c r="H141" s="136">
        <v>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/>
      <c r="U141" s="129"/>
      <c r="V141" s="129"/>
      <c r="W141" s="129"/>
      <c r="X141" s="129"/>
      <c r="Y141" s="129"/>
      <c r="Z141" s="129"/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  <c r="U142" s="129"/>
      <c r="V142" s="129"/>
      <c r="W142" s="129"/>
      <c r="X142" s="129"/>
      <c r="Y142" s="129"/>
      <c r="Z142" s="129"/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1230.0</v>
      </c>
      <c r="F143" s="136">
        <v>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1150.0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/>
      <c r="U143" s="129"/>
      <c r="V143" s="129"/>
      <c r="W143" s="129"/>
      <c r="X143" s="129"/>
      <c r="Y143" s="129"/>
      <c r="Z143" s="129"/>
    </row>
    <row r="144" ht="18.0" customHeight="1">
      <c r="A144" s="134" t="s">
        <v>173</v>
      </c>
      <c r="B144" s="134" t="s">
        <v>168</v>
      </c>
      <c r="C144" s="134" t="s">
        <v>47</v>
      </c>
      <c r="D144" s="135">
        <v>1000.0</v>
      </c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7"/>
      <c r="T144" s="137"/>
      <c r="U144" s="129"/>
      <c r="V144" s="129"/>
      <c r="W144" s="129"/>
      <c r="X144" s="129"/>
      <c r="Y144" s="129"/>
      <c r="Z144" s="129"/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478.14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  <c r="U145" s="129"/>
      <c r="V145" s="129"/>
      <c r="W145" s="129"/>
      <c r="X145" s="129"/>
      <c r="Y145" s="129"/>
      <c r="Z145" s="129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46022.0</v>
      </c>
      <c r="U146" s="129"/>
      <c r="V146" s="129"/>
      <c r="W146" s="129"/>
      <c r="X146" s="129"/>
      <c r="Y146" s="129"/>
      <c r="Z146" s="129"/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788.0</v>
      </c>
      <c r="F147" s="136">
        <v>695.0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345.0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  <c r="U147" s="129"/>
      <c r="V147" s="129"/>
      <c r="W147" s="129"/>
      <c r="X147" s="129"/>
      <c r="Y147" s="129"/>
      <c r="Z147" s="129"/>
    </row>
    <row r="148" ht="18.0" customHeight="1">
      <c r="A148" s="134" t="s">
        <v>177</v>
      </c>
      <c r="B148" s="134" t="s">
        <v>38</v>
      </c>
      <c r="C148" s="134" t="s">
        <v>178</v>
      </c>
      <c r="D148" s="135">
        <v>850.0</v>
      </c>
      <c r="E148" s="136">
        <v>1085.0</v>
      </c>
      <c r="F148" s="136">
        <v>3555.0</v>
      </c>
      <c r="G148" s="136">
        <v>0.0</v>
      </c>
      <c r="H148" s="136">
        <v>60.0</v>
      </c>
      <c r="I148" s="136">
        <v>1025.0</v>
      </c>
      <c r="J148" s="136">
        <v>0.0</v>
      </c>
      <c r="K148" s="136">
        <v>0.0</v>
      </c>
      <c r="L148" s="136">
        <v>0.0</v>
      </c>
      <c r="M148" s="136">
        <v>0.0</v>
      </c>
      <c r="N148" s="136">
        <v>0.0</v>
      </c>
      <c r="O148" s="136">
        <v>0.0</v>
      </c>
      <c r="P148" s="136">
        <v>0.0</v>
      </c>
      <c r="Q148" s="136">
        <v>0.0</v>
      </c>
      <c r="R148" s="136">
        <v>0.0</v>
      </c>
      <c r="S148" s="137">
        <v>45477.0</v>
      </c>
      <c r="T148" s="137"/>
      <c r="U148" s="129"/>
      <c r="V148" s="129"/>
      <c r="W148" s="129"/>
      <c r="X148" s="129"/>
      <c r="Y148" s="129"/>
      <c r="Z148" s="129"/>
    </row>
    <row r="149" ht="18.0" customHeight="1">
      <c r="A149" s="134" t="s">
        <v>179</v>
      </c>
      <c r="B149" s="134" t="s">
        <v>38</v>
      </c>
      <c r="C149" s="134" t="s">
        <v>47</v>
      </c>
      <c r="D149" s="135">
        <v>850.0</v>
      </c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7"/>
      <c r="T149" s="137"/>
      <c r="U149" s="129"/>
      <c r="V149" s="129"/>
      <c r="W149" s="129"/>
      <c r="X149" s="129"/>
      <c r="Y149" s="129"/>
      <c r="Z149" s="129"/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950.0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  <c r="U150" s="129"/>
      <c r="V150" s="129"/>
      <c r="W150" s="129"/>
      <c r="X150" s="129"/>
      <c r="Y150" s="129"/>
      <c r="Z150" s="129"/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1626.0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  <c r="U151" s="129"/>
      <c r="V151" s="129"/>
      <c r="W151" s="129"/>
      <c r="X151" s="129"/>
      <c r="Y151" s="129"/>
      <c r="Z151" s="129"/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900.0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/>
      <c r="U152" s="129"/>
      <c r="V152" s="129"/>
      <c r="W152" s="129"/>
      <c r="X152" s="129"/>
      <c r="Y152" s="129"/>
      <c r="Z152" s="129"/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800.0</v>
      </c>
      <c r="F153" s="136">
        <v>-290.0</v>
      </c>
      <c r="G153" s="136">
        <v>0.0</v>
      </c>
      <c r="H153" s="136">
        <v>0.0</v>
      </c>
      <c r="I153" s="136">
        <v>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/>
      <c r="U153" s="129"/>
      <c r="V153" s="129"/>
      <c r="W153" s="129"/>
      <c r="X153" s="129"/>
      <c r="Y153" s="129"/>
      <c r="Z153" s="129"/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886.0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  <c r="U154" s="129"/>
      <c r="V154" s="129"/>
      <c r="W154" s="129"/>
      <c r="X154" s="129"/>
      <c r="Y154" s="129"/>
      <c r="Z154" s="129"/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984.09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  <c r="U155" s="129"/>
      <c r="V155" s="129"/>
      <c r="W155" s="129"/>
      <c r="X155" s="129"/>
      <c r="Y155" s="129"/>
      <c r="Z155" s="129"/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/>
      <c r="U156" s="129"/>
      <c r="V156" s="129"/>
      <c r="W156" s="129"/>
      <c r="X156" s="129"/>
      <c r="Y156" s="129"/>
      <c r="Z156" s="129"/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801.0</v>
      </c>
      <c r="F157" s="136">
        <v>801.0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801.0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/>
      <c r="U157" s="129"/>
      <c r="V157" s="129"/>
      <c r="W157" s="129"/>
      <c r="X157" s="129"/>
      <c r="Y157" s="129"/>
      <c r="Z157" s="129"/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1353.0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  <c r="U158" s="129"/>
      <c r="V158" s="129"/>
      <c r="W158" s="129"/>
      <c r="X158" s="129"/>
      <c r="Y158" s="129"/>
      <c r="Z158" s="129"/>
    </row>
    <row r="159" ht="18.0" customHeight="1">
      <c r="A159" s="134" t="s">
        <v>189</v>
      </c>
      <c r="B159" s="134" t="s">
        <v>38</v>
      </c>
      <c r="C159" s="134" t="s">
        <v>47</v>
      </c>
      <c r="D159" s="135">
        <v>850.0</v>
      </c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7"/>
      <c r="T159" s="137"/>
      <c r="U159" s="129"/>
      <c r="V159" s="129"/>
      <c r="W159" s="129"/>
      <c r="X159" s="129"/>
      <c r="Y159" s="129"/>
      <c r="Z159" s="129"/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788.0</v>
      </c>
      <c r="F160" s="136">
        <v>753.0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594.0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/>
      <c r="U160" s="129"/>
      <c r="V160" s="129"/>
      <c r="W160" s="129"/>
      <c r="X160" s="129"/>
      <c r="Y160" s="129"/>
      <c r="Z160" s="129"/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910.0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/>
      <c r="U161" s="129"/>
      <c r="V161" s="129"/>
      <c r="W161" s="129"/>
      <c r="X161" s="129"/>
      <c r="Y161" s="129"/>
      <c r="Z161" s="129"/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825.0</v>
      </c>
      <c r="G162" s="136">
        <v>0.0</v>
      </c>
      <c r="H162" s="136">
        <v>501.0</v>
      </c>
      <c r="I162" s="136">
        <v>312.0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0.0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  <c r="U162" s="129"/>
      <c r="V162" s="129"/>
      <c r="W162" s="129"/>
      <c r="X162" s="129"/>
      <c r="Y162" s="129"/>
      <c r="Z162" s="129"/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253.64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0.0</v>
      </c>
      <c r="L163" s="136">
        <v>646.0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  <c r="U163" s="129"/>
      <c r="V163" s="129"/>
      <c r="W163" s="129"/>
      <c r="X163" s="129"/>
      <c r="Y163" s="129"/>
      <c r="Z163" s="129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861.0</v>
      </c>
      <c r="F164" s="136">
        <v>861.0</v>
      </c>
      <c r="G164" s="136">
        <v>0.0</v>
      </c>
      <c r="H164" s="136">
        <v>0.0</v>
      </c>
      <c r="I164" s="136">
        <v>428.0</v>
      </c>
      <c r="J164" s="136">
        <v>0.0</v>
      </c>
      <c r="K164" s="136">
        <v>0.0</v>
      </c>
      <c r="L164" s="136">
        <v>433.0</v>
      </c>
      <c r="M164" s="136">
        <v>0.0</v>
      </c>
      <c r="N164" s="136">
        <v>0.0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  <c r="U164" s="129"/>
      <c r="V164" s="129"/>
      <c r="W164" s="129"/>
      <c r="X164" s="129"/>
      <c r="Y164" s="129"/>
      <c r="Z164" s="129"/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861.0</v>
      </c>
      <c r="F165" s="136">
        <v>861.0</v>
      </c>
      <c r="G165" s="136">
        <v>0.0</v>
      </c>
      <c r="H165" s="136">
        <v>0.0</v>
      </c>
      <c r="I165" s="136">
        <v>25.0</v>
      </c>
      <c r="J165" s="136">
        <v>0.0</v>
      </c>
      <c r="K165" s="136">
        <v>0.0</v>
      </c>
      <c r="L165" s="136">
        <v>836.0</v>
      </c>
      <c r="M165" s="136">
        <v>0.0</v>
      </c>
      <c r="N165" s="136">
        <v>0.0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  <c r="U165" s="129"/>
      <c r="V165" s="129"/>
      <c r="W165" s="129"/>
      <c r="X165" s="129"/>
      <c r="Y165" s="129"/>
      <c r="Z165" s="129"/>
    </row>
    <row r="166" ht="18.0" customHeight="1">
      <c r="A166" s="134" t="s">
        <v>196</v>
      </c>
      <c r="B166" s="134" t="s">
        <v>38</v>
      </c>
      <c r="C166" s="134" t="s">
        <v>39</v>
      </c>
      <c r="D166" s="135">
        <v>850.0</v>
      </c>
      <c r="E166" s="136">
        <v>1000.0</v>
      </c>
      <c r="F166" s="136">
        <v>600.0</v>
      </c>
      <c r="G166" s="136">
        <v>0.0</v>
      </c>
      <c r="H166" s="136">
        <v>0.0</v>
      </c>
      <c r="I166" s="136">
        <v>1000.0</v>
      </c>
      <c r="J166" s="136">
        <v>0.0</v>
      </c>
      <c r="K166" s="136">
        <v>0.0</v>
      </c>
      <c r="L166" s="136">
        <v>0.0</v>
      </c>
      <c r="M166" s="136">
        <v>0.0</v>
      </c>
      <c r="N166" s="136">
        <v>0.0</v>
      </c>
      <c r="O166" s="136">
        <v>0.0</v>
      </c>
      <c r="P166" s="136">
        <v>0.0</v>
      </c>
      <c r="Q166" s="136">
        <v>0.0</v>
      </c>
      <c r="R166" s="136">
        <v>0.0</v>
      </c>
      <c r="S166" s="137">
        <v>45786.0</v>
      </c>
      <c r="T166" s="137"/>
      <c r="U166" s="129"/>
      <c r="V166" s="129"/>
      <c r="W166" s="129"/>
      <c r="X166" s="129"/>
      <c r="Y166" s="129"/>
      <c r="Z166" s="129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1000.0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46022.0</v>
      </c>
      <c r="U167" s="129"/>
      <c r="V167" s="129"/>
      <c r="W167" s="129"/>
      <c r="X167" s="129"/>
      <c r="Y167" s="129"/>
      <c r="Z167" s="129"/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861.0</v>
      </c>
      <c r="F168" s="136">
        <v>932.0</v>
      </c>
      <c r="G168" s="136">
        <v>0.0</v>
      </c>
      <c r="H168" s="136">
        <v>0.0</v>
      </c>
      <c r="I168" s="136">
        <v>474.0</v>
      </c>
      <c r="J168" s="136">
        <v>0.0</v>
      </c>
      <c r="K168" s="136">
        <v>0.0</v>
      </c>
      <c r="L168" s="136">
        <v>387.0</v>
      </c>
      <c r="M168" s="136">
        <v>0.0</v>
      </c>
      <c r="N168" s="136">
        <v>0.0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46023.0</v>
      </c>
      <c r="U168" s="129"/>
      <c r="V168" s="129"/>
      <c r="W168" s="129"/>
      <c r="X168" s="129"/>
      <c r="Y168" s="129"/>
      <c r="Z168" s="129"/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900.0</v>
      </c>
      <c r="F169" s="136">
        <v>900.0</v>
      </c>
      <c r="G169" s="136">
        <v>0.0</v>
      </c>
      <c r="H169" s="136">
        <v>0.0</v>
      </c>
      <c r="I169" s="136">
        <v>900.0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/>
      <c r="U169" s="129"/>
      <c r="V169" s="129"/>
      <c r="W169" s="129"/>
      <c r="X169" s="129"/>
      <c r="Y169" s="129"/>
      <c r="Z169" s="129"/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  <c r="U170" s="129"/>
      <c r="V170" s="129"/>
      <c r="W170" s="129"/>
      <c r="X170" s="129"/>
      <c r="Y170" s="129"/>
      <c r="Z170" s="129"/>
    </row>
    <row r="171" ht="18.0" customHeight="1">
      <c r="A171" s="138" t="s">
        <v>201</v>
      </c>
      <c r="B171" s="138"/>
      <c r="C171" s="138" t="s">
        <v>202</v>
      </c>
      <c r="D171" s="139">
        <v>34800.0</v>
      </c>
      <c r="E171" s="140">
        <v>30687.5</v>
      </c>
      <c r="F171" s="140">
        <v>26256.37</v>
      </c>
      <c r="G171" s="140">
        <v>0.0</v>
      </c>
      <c r="H171" s="140">
        <v>691.0</v>
      </c>
      <c r="I171" s="140">
        <v>15447.0</v>
      </c>
      <c r="J171" s="140">
        <v>0.0</v>
      </c>
      <c r="K171" s="140">
        <v>2845.0</v>
      </c>
      <c r="L171" s="140">
        <v>3202.0</v>
      </c>
      <c r="M171" s="140">
        <v>1958.0</v>
      </c>
      <c r="N171" s="140">
        <v>6434.0</v>
      </c>
      <c r="O171" s="140">
        <v>100.0</v>
      </c>
      <c r="P171" s="140">
        <v>0.0</v>
      </c>
      <c r="Q171" s="140">
        <v>0.0</v>
      </c>
      <c r="R171" s="140">
        <v>10.5</v>
      </c>
      <c r="S171" s="141"/>
      <c r="T171" s="141"/>
      <c r="U171" s="129"/>
      <c r="V171" s="129"/>
      <c r="W171" s="129"/>
      <c r="X171" s="129"/>
      <c r="Y171" s="129"/>
      <c r="Z171" s="129"/>
    </row>
    <row r="172" ht="18.0" customHeight="1">
      <c r="A172" s="133" t="s">
        <v>203</v>
      </c>
      <c r="U172" s="129"/>
      <c r="V172" s="129"/>
      <c r="W172" s="129"/>
      <c r="X172" s="129"/>
      <c r="Y172" s="129"/>
      <c r="Z172" s="129"/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  <c r="U173" s="129"/>
      <c r="V173" s="129"/>
      <c r="W173" s="129"/>
      <c r="X173" s="129"/>
      <c r="Y173" s="129"/>
      <c r="Z173" s="129"/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  <c r="U174" s="129"/>
      <c r="V174" s="129"/>
      <c r="W174" s="129"/>
      <c r="X174" s="129"/>
      <c r="Y174" s="129"/>
      <c r="Z174" s="129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900.0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  <c r="U175" s="129"/>
      <c r="V175" s="129"/>
      <c r="W175" s="129"/>
      <c r="X175" s="129"/>
      <c r="Y175" s="129"/>
      <c r="Z175" s="129"/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775.0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  <c r="U176" s="129"/>
      <c r="V176" s="129"/>
      <c r="W176" s="129"/>
      <c r="X176" s="129"/>
      <c r="Y176" s="129"/>
      <c r="Z176" s="129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  <c r="U177" s="129"/>
      <c r="V177" s="129"/>
      <c r="W177" s="129"/>
      <c r="X177" s="129"/>
      <c r="Y177" s="129"/>
      <c r="Z177" s="129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1145.0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  <c r="U178" s="129"/>
      <c r="V178" s="129"/>
      <c r="W178" s="129"/>
      <c r="X178" s="129"/>
      <c r="Y178" s="129"/>
      <c r="Z178" s="129"/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0.0</v>
      </c>
      <c r="F179" s="136">
        <v>0.0</v>
      </c>
      <c r="G179" s="136">
        <v>0.0</v>
      </c>
      <c r="H179" s="136">
        <v>0.0</v>
      </c>
      <c r="I179" s="136">
        <v>0.0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  <c r="U179" s="129"/>
      <c r="V179" s="129"/>
      <c r="W179" s="129"/>
      <c r="X179" s="129"/>
      <c r="Y179" s="129"/>
      <c r="Z179" s="129"/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800.0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  <c r="U180" s="129"/>
      <c r="V180" s="129"/>
      <c r="W180" s="129"/>
      <c r="X180" s="129"/>
      <c r="Y180" s="129"/>
      <c r="Z180" s="129"/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0.0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  <c r="U181" s="129"/>
      <c r="V181" s="129"/>
      <c r="W181" s="129"/>
      <c r="X181" s="129"/>
      <c r="Y181" s="129"/>
      <c r="Z181" s="129"/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  <c r="U182" s="129"/>
      <c r="V182" s="129"/>
      <c r="W182" s="129"/>
      <c r="X182" s="129"/>
      <c r="Y182" s="129"/>
      <c r="Z182" s="129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867.0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  <c r="U183" s="129"/>
      <c r="V183" s="129"/>
      <c r="W183" s="129"/>
      <c r="X183" s="129"/>
      <c r="Y183" s="129"/>
      <c r="Z183" s="129"/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  <c r="U184" s="129"/>
      <c r="V184" s="129"/>
      <c r="W184" s="129"/>
      <c r="X184" s="129"/>
      <c r="Y184" s="129"/>
      <c r="Z184" s="129"/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  <c r="U185" s="129"/>
      <c r="V185" s="129"/>
      <c r="W185" s="129"/>
      <c r="X185" s="129"/>
      <c r="Y185" s="129"/>
      <c r="Z185" s="129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-700.0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  <c r="U186" s="129"/>
      <c r="V186" s="129"/>
      <c r="W186" s="129"/>
      <c r="X186" s="129"/>
      <c r="Y186" s="129"/>
      <c r="Z186" s="129"/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  <c r="U187" s="129"/>
      <c r="V187" s="129"/>
      <c r="W187" s="129"/>
      <c r="X187" s="129"/>
      <c r="Y187" s="129"/>
      <c r="Z187" s="129"/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800.0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  <c r="U188" s="129"/>
      <c r="V188" s="129"/>
      <c r="W188" s="129"/>
      <c r="X188" s="129"/>
      <c r="Y188" s="129"/>
      <c r="Z188" s="129"/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  <c r="U189" s="129"/>
      <c r="V189" s="129"/>
      <c r="W189" s="129"/>
      <c r="X189" s="129"/>
      <c r="Y189" s="129"/>
      <c r="Z189" s="129"/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850.0</v>
      </c>
      <c r="F190" s="136">
        <v>-203.48</v>
      </c>
      <c r="G190" s="136">
        <v>0.0</v>
      </c>
      <c r="H190" s="136">
        <v>0.0</v>
      </c>
      <c r="I190" s="136">
        <v>850.0</v>
      </c>
      <c r="J190" s="136">
        <v>0.0</v>
      </c>
      <c r="K190" s="136">
        <v>0.0</v>
      </c>
      <c r="L190" s="136">
        <v>0.0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  <c r="U190" s="129"/>
      <c r="V190" s="129"/>
      <c r="W190" s="129"/>
      <c r="X190" s="129"/>
      <c r="Y190" s="129"/>
      <c r="Z190" s="129"/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  <c r="U191" s="129"/>
      <c r="V191" s="129"/>
      <c r="W191" s="129"/>
      <c r="X191" s="129"/>
      <c r="Y191" s="129"/>
      <c r="Z191" s="129"/>
    </row>
    <row r="192" ht="18.0" customHeight="1">
      <c r="A192" s="134" t="s">
        <v>223</v>
      </c>
      <c r="B192" s="134" t="s">
        <v>38</v>
      </c>
      <c r="C192" s="134" t="s">
        <v>47</v>
      </c>
      <c r="D192" s="135">
        <v>825.0</v>
      </c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7"/>
      <c r="T192" s="137"/>
      <c r="U192" s="129"/>
      <c r="V192" s="129"/>
      <c r="W192" s="129"/>
      <c r="X192" s="129"/>
      <c r="Y192" s="129"/>
      <c r="Z192" s="129"/>
    </row>
    <row r="193" ht="18.0" customHeight="1">
      <c r="A193" s="134" t="s">
        <v>224</v>
      </c>
      <c r="B193" s="134" t="s">
        <v>56</v>
      </c>
      <c r="C193" s="134" t="s">
        <v>47</v>
      </c>
      <c r="D193" s="135">
        <v>750.0</v>
      </c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7"/>
      <c r="T193" s="137"/>
      <c r="U193" s="129"/>
      <c r="V193" s="129"/>
      <c r="W193" s="129"/>
      <c r="X193" s="129"/>
      <c r="Y193" s="129"/>
      <c r="Z193" s="129"/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750.0</v>
      </c>
      <c r="F194" s="136">
        <v>0.0</v>
      </c>
      <c r="G194" s="136">
        <v>0.0</v>
      </c>
      <c r="H194" s="136">
        <v>0.0</v>
      </c>
      <c r="I194" s="136">
        <v>750.0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/>
      <c r="U194" s="129"/>
      <c r="V194" s="129"/>
      <c r="W194" s="129"/>
      <c r="X194" s="129"/>
      <c r="Y194" s="129"/>
      <c r="Z194" s="129"/>
    </row>
    <row r="195" ht="18.0" customHeight="1">
      <c r="A195" s="138" t="s">
        <v>226</v>
      </c>
      <c r="B195" s="138"/>
      <c r="C195" s="138" t="s">
        <v>227</v>
      </c>
      <c r="D195" s="139">
        <v>17550.0</v>
      </c>
      <c r="E195" s="140">
        <v>15240.0</v>
      </c>
      <c r="F195" s="140">
        <v>4383.52</v>
      </c>
      <c r="G195" s="140">
        <v>0.0</v>
      </c>
      <c r="H195" s="140">
        <v>0.0</v>
      </c>
      <c r="I195" s="140">
        <v>15240.0</v>
      </c>
      <c r="J195" s="140">
        <v>0.0</v>
      </c>
      <c r="K195" s="140">
        <v>0.0</v>
      </c>
      <c r="L195" s="140">
        <v>0.0</v>
      </c>
      <c r="M195" s="140">
        <v>0.0</v>
      </c>
      <c r="N195" s="140">
        <v>0.0</v>
      </c>
      <c r="O195" s="140">
        <v>0.0</v>
      </c>
      <c r="P195" s="140">
        <v>0.0</v>
      </c>
      <c r="Q195" s="140">
        <v>0.0</v>
      </c>
      <c r="R195" s="140">
        <v>0.0</v>
      </c>
      <c r="S195" s="141"/>
      <c r="T195" s="141"/>
      <c r="U195" s="129"/>
      <c r="V195" s="129"/>
      <c r="W195" s="129"/>
      <c r="X195" s="129"/>
      <c r="Y195" s="129"/>
      <c r="Z195" s="129"/>
    </row>
    <row r="196" ht="18.0" customHeight="1">
      <c r="A196" s="133" t="s">
        <v>228</v>
      </c>
      <c r="U196" s="129"/>
      <c r="V196" s="129"/>
      <c r="W196" s="129"/>
      <c r="X196" s="129"/>
      <c r="Y196" s="129"/>
      <c r="Z196" s="129"/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375.0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  <c r="U197" s="129"/>
      <c r="V197" s="129"/>
      <c r="W197" s="129"/>
      <c r="X197" s="129"/>
      <c r="Y197" s="129"/>
      <c r="Z197" s="129"/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  <c r="U198" s="129"/>
      <c r="V198" s="129"/>
      <c r="W198" s="129"/>
      <c r="X198" s="129"/>
      <c r="Y198" s="129"/>
      <c r="Z198" s="129"/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31.0</v>
      </c>
      <c r="G199" s="136">
        <v>0.0</v>
      </c>
      <c r="H199" s="136">
        <v>225.0</v>
      </c>
      <c r="I199" s="136">
        <v>91.0</v>
      </c>
      <c r="J199" s="136">
        <v>0.0</v>
      </c>
      <c r="K199" s="136">
        <v>0.0</v>
      </c>
      <c r="L199" s="136">
        <v>934.0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  <c r="U199" s="129"/>
      <c r="V199" s="129"/>
      <c r="W199" s="129"/>
      <c r="X199" s="129"/>
      <c r="Y199" s="129"/>
      <c r="Z199" s="129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1125.0</v>
      </c>
      <c r="F200" s="136">
        <v>425.5</v>
      </c>
      <c r="G200" s="136">
        <v>0.0</v>
      </c>
      <c r="H200" s="136">
        <v>225.0</v>
      </c>
      <c r="I200" s="136">
        <v>900.0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/>
      <c r="U200" s="129"/>
      <c r="V200" s="129"/>
      <c r="W200" s="129"/>
      <c r="X200" s="129"/>
      <c r="Y200" s="129"/>
      <c r="Z200" s="129"/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  <c r="U201" s="129"/>
      <c r="V201" s="129"/>
      <c r="W201" s="129"/>
      <c r="X201" s="129"/>
      <c r="Y201" s="129"/>
      <c r="Z201" s="129"/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-1158.0</v>
      </c>
      <c r="G202" s="136">
        <v>0.0</v>
      </c>
      <c r="H202" s="136">
        <v>225.0</v>
      </c>
      <c r="I202" s="136">
        <v>135.0</v>
      </c>
      <c r="J202" s="136">
        <v>0.0</v>
      </c>
      <c r="K202" s="136">
        <v>0.0</v>
      </c>
      <c r="L202" s="136">
        <v>890.0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  <c r="U202" s="129"/>
      <c r="V202" s="129"/>
      <c r="W202" s="129"/>
      <c r="X202" s="129"/>
      <c r="Y202" s="129"/>
      <c r="Z202" s="129"/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  <c r="U203" s="129"/>
      <c r="V203" s="129"/>
      <c r="W203" s="129"/>
      <c r="X203" s="129"/>
      <c r="Y203" s="129"/>
      <c r="Z203" s="129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  <c r="U204" s="129"/>
      <c r="V204" s="129"/>
      <c r="W204" s="129"/>
      <c r="X204" s="129"/>
      <c r="Y204" s="129"/>
      <c r="Z204" s="129"/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  <c r="U205" s="129"/>
      <c r="V205" s="129"/>
      <c r="W205" s="129"/>
      <c r="X205" s="129"/>
      <c r="Y205" s="129"/>
      <c r="Z205" s="129"/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900.6</v>
      </c>
      <c r="G206" s="136">
        <v>0.0</v>
      </c>
      <c r="H206" s="136">
        <v>225.0</v>
      </c>
      <c r="I206" s="136">
        <v>327.0</v>
      </c>
      <c r="J206" s="136">
        <v>0.0</v>
      </c>
      <c r="K206" s="136">
        <v>0.0</v>
      </c>
      <c r="L206" s="136">
        <v>698.0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  <c r="U206" s="129"/>
      <c r="V206" s="129"/>
      <c r="W206" s="129"/>
      <c r="X206" s="129"/>
      <c r="Y206" s="129"/>
      <c r="Z206" s="129"/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1220.0</v>
      </c>
      <c r="F207" s="136">
        <v>-18.26</v>
      </c>
      <c r="G207" s="136">
        <v>0.0</v>
      </c>
      <c r="H207" s="136">
        <v>225.0</v>
      </c>
      <c r="I207" s="136">
        <v>995.0</v>
      </c>
      <c r="J207" s="136">
        <v>0.0</v>
      </c>
      <c r="K207" s="136">
        <v>0.0</v>
      </c>
      <c r="L207" s="136">
        <v>0.0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  <c r="U207" s="129"/>
      <c r="V207" s="129"/>
      <c r="W207" s="129"/>
      <c r="X207" s="129"/>
      <c r="Y207" s="129"/>
      <c r="Z207" s="129"/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-46.25</v>
      </c>
      <c r="G208" s="136">
        <v>0.0</v>
      </c>
      <c r="H208" s="136">
        <v>225.0</v>
      </c>
      <c r="I208" s="136">
        <v>120.0</v>
      </c>
      <c r="J208" s="136">
        <v>0.0</v>
      </c>
      <c r="K208" s="136">
        <v>0.0</v>
      </c>
      <c r="L208" s="136">
        <v>905.0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  <c r="U208" s="129"/>
      <c r="V208" s="129"/>
      <c r="W208" s="129"/>
      <c r="X208" s="129"/>
      <c r="Y208" s="129"/>
      <c r="Z208" s="129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  <c r="U209" s="129"/>
      <c r="V209" s="129"/>
      <c r="W209" s="129"/>
      <c r="X209" s="129"/>
      <c r="Y209" s="129"/>
      <c r="Z209" s="129"/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  <c r="U210" s="129"/>
      <c r="V210" s="129"/>
      <c r="W210" s="129"/>
      <c r="X210" s="129"/>
      <c r="Y210" s="129"/>
      <c r="Z210" s="129"/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1250.0</v>
      </c>
      <c r="F211" s="136">
        <v>-1.0</v>
      </c>
      <c r="G211" s="136">
        <v>0.0</v>
      </c>
      <c r="H211" s="136">
        <v>225.0</v>
      </c>
      <c r="I211" s="136">
        <v>1025.0</v>
      </c>
      <c r="J211" s="136">
        <v>0.0</v>
      </c>
      <c r="K211" s="136">
        <v>0.0</v>
      </c>
      <c r="L211" s="136">
        <v>0.0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  <c r="U211" s="129"/>
      <c r="V211" s="129"/>
      <c r="W211" s="129"/>
      <c r="X211" s="129"/>
      <c r="Y211" s="129"/>
      <c r="Z211" s="129"/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  <c r="U212" s="129"/>
      <c r="V212" s="129"/>
      <c r="W212" s="129"/>
      <c r="X212" s="129"/>
      <c r="Y212" s="129"/>
      <c r="Z212" s="129"/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1350.0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  <c r="U213" s="129"/>
      <c r="V213" s="129"/>
      <c r="W213" s="129"/>
      <c r="X213" s="129"/>
      <c r="Y213" s="129"/>
      <c r="Z213" s="129"/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  <c r="U214" s="129"/>
      <c r="V214" s="129"/>
      <c r="W214" s="129"/>
      <c r="X214" s="129"/>
      <c r="Y214" s="129"/>
      <c r="Z214" s="129"/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  <c r="U215" s="129"/>
      <c r="V215" s="129"/>
      <c r="W215" s="129"/>
      <c r="X215" s="129"/>
      <c r="Y215" s="129"/>
      <c r="Z215" s="129"/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1445.0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46006.0</v>
      </c>
      <c r="U216" s="129"/>
      <c r="V216" s="129"/>
      <c r="W216" s="129"/>
      <c r="X216" s="129"/>
      <c r="Y216" s="129"/>
      <c r="Z216" s="129"/>
    </row>
    <row r="217" ht="18.0" customHeight="1">
      <c r="A217" s="134" t="s">
        <v>84</v>
      </c>
      <c r="B217" s="134" t="s">
        <v>38</v>
      </c>
      <c r="C217" s="134" t="s">
        <v>39</v>
      </c>
      <c r="D217" s="135">
        <v>825.0</v>
      </c>
      <c r="E217" s="136">
        <v>1250.0</v>
      </c>
      <c r="F217" s="136">
        <v>6032.0</v>
      </c>
      <c r="G217" s="136">
        <v>0.0</v>
      </c>
      <c r="H217" s="136">
        <v>225.0</v>
      </c>
      <c r="I217" s="136">
        <v>1025.0</v>
      </c>
      <c r="J217" s="136">
        <v>0.0</v>
      </c>
      <c r="K217" s="136">
        <v>0.0</v>
      </c>
      <c r="L217" s="136">
        <v>0.0</v>
      </c>
      <c r="M217" s="136">
        <v>0.0</v>
      </c>
      <c r="N217" s="136">
        <v>0.0</v>
      </c>
      <c r="O217" s="136">
        <v>0.0</v>
      </c>
      <c r="P217" s="136">
        <v>0.0</v>
      </c>
      <c r="Q217" s="136">
        <v>0.0</v>
      </c>
      <c r="R217" s="136">
        <v>0.0</v>
      </c>
      <c r="S217" s="137">
        <v>45483.0</v>
      </c>
      <c r="T217" s="137">
        <v>46031.0</v>
      </c>
      <c r="U217" s="129"/>
      <c r="V217" s="129"/>
      <c r="W217" s="129"/>
      <c r="X217" s="129"/>
      <c r="Y217" s="129"/>
      <c r="Z217" s="129"/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  <c r="U218" s="129"/>
      <c r="V218" s="129"/>
      <c r="W218" s="129"/>
      <c r="X218" s="129"/>
      <c r="Y218" s="129"/>
      <c r="Z218" s="129"/>
    </row>
    <row r="219" ht="18.0" customHeight="1">
      <c r="A219" s="134" t="s">
        <v>86</v>
      </c>
      <c r="B219" s="134" t="s">
        <v>38</v>
      </c>
      <c r="C219" s="134" t="s">
        <v>39</v>
      </c>
      <c r="D219" s="135">
        <v>825.0</v>
      </c>
      <c r="E219" s="136">
        <v>1250.0</v>
      </c>
      <c r="F219" s="136">
        <v>1250.0</v>
      </c>
      <c r="G219" s="136">
        <v>0.0</v>
      </c>
      <c r="H219" s="136">
        <v>225.0</v>
      </c>
      <c r="I219" s="136">
        <v>1025.0</v>
      </c>
      <c r="J219" s="136">
        <v>0.0</v>
      </c>
      <c r="K219" s="136">
        <v>0.0</v>
      </c>
      <c r="L219" s="136">
        <v>0.0</v>
      </c>
      <c r="M219" s="136">
        <v>0.0</v>
      </c>
      <c r="N219" s="136">
        <v>0.0</v>
      </c>
      <c r="O219" s="136">
        <v>0.0</v>
      </c>
      <c r="P219" s="136">
        <v>0.0</v>
      </c>
      <c r="Q219" s="136">
        <v>0.0</v>
      </c>
      <c r="R219" s="136">
        <v>0.0</v>
      </c>
      <c r="S219" s="137">
        <v>45567.0</v>
      </c>
      <c r="T219" s="137">
        <v>45931.0</v>
      </c>
      <c r="U219" s="129"/>
      <c r="V219" s="129"/>
      <c r="W219" s="129"/>
      <c r="X219" s="129"/>
      <c r="Y219" s="129"/>
      <c r="Z219" s="129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  <c r="U220" s="129"/>
      <c r="V220" s="129"/>
      <c r="W220" s="129"/>
      <c r="X220" s="129"/>
      <c r="Y220" s="129"/>
      <c r="Z220" s="129"/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  <c r="U221" s="129"/>
      <c r="V221" s="129"/>
      <c r="W221" s="129"/>
      <c r="X221" s="129"/>
      <c r="Y221" s="129"/>
      <c r="Z221" s="129"/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1.0</v>
      </c>
      <c r="G222" s="136">
        <v>0.0</v>
      </c>
      <c r="H222" s="136">
        <v>225.0</v>
      </c>
      <c r="I222" s="136">
        <v>659.0</v>
      </c>
      <c r="J222" s="136">
        <v>0.0</v>
      </c>
      <c r="K222" s="136">
        <v>0.0</v>
      </c>
      <c r="L222" s="136">
        <v>416.0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46081.0</v>
      </c>
      <c r="U222" s="129"/>
      <c r="V222" s="129"/>
      <c r="W222" s="129"/>
      <c r="X222" s="129"/>
      <c r="Y222" s="129"/>
      <c r="Z222" s="129"/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  <c r="U223" s="129"/>
      <c r="V223" s="129"/>
      <c r="W223" s="129"/>
      <c r="X223" s="129"/>
      <c r="Y223" s="129"/>
      <c r="Z223" s="129"/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  <c r="U224" s="129"/>
      <c r="V224" s="129"/>
      <c r="W224" s="129"/>
      <c r="X224" s="129"/>
      <c r="Y224" s="129"/>
      <c r="Z224" s="129"/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1250.0</v>
      </c>
      <c r="F225" s="136">
        <v>600.0</v>
      </c>
      <c r="G225" s="136">
        <v>0.0</v>
      </c>
      <c r="H225" s="136">
        <v>225.0</v>
      </c>
      <c r="I225" s="136">
        <v>1025.0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/>
      <c r="U225" s="129"/>
      <c r="V225" s="129"/>
      <c r="W225" s="129"/>
      <c r="X225" s="129"/>
      <c r="Y225" s="129"/>
      <c r="Z225" s="129"/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1125.0</v>
      </c>
      <c r="F226" s="136">
        <v>0.0</v>
      </c>
      <c r="G226" s="136">
        <v>0.0</v>
      </c>
      <c r="H226" s="136">
        <v>225.0</v>
      </c>
      <c r="I226" s="136">
        <v>900.0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46022.0</v>
      </c>
      <c r="U226" s="129"/>
      <c r="V226" s="129"/>
      <c r="W226" s="129"/>
      <c r="X226" s="129"/>
      <c r="Y226" s="129"/>
      <c r="Z226" s="129"/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  <c r="U227" s="129"/>
      <c r="V227" s="129"/>
      <c r="W227" s="129"/>
      <c r="X227" s="129"/>
      <c r="Y227" s="129"/>
      <c r="Z227" s="129"/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1125.0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/>
      <c r="U228" s="129"/>
      <c r="V228" s="129"/>
      <c r="W228" s="129"/>
      <c r="X228" s="129"/>
      <c r="Y228" s="129"/>
      <c r="Z228" s="129"/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-10.0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46091.0</v>
      </c>
      <c r="U229" s="129"/>
      <c r="V229" s="129"/>
      <c r="W229" s="129"/>
      <c r="X229" s="129"/>
      <c r="Y229" s="129"/>
      <c r="Z229" s="129"/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  <c r="U230" s="129"/>
      <c r="V230" s="129"/>
      <c r="W230" s="129"/>
      <c r="X230" s="129"/>
      <c r="Y230" s="129"/>
      <c r="Z230" s="129"/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  <c r="U231" s="129"/>
      <c r="V231" s="129"/>
      <c r="W231" s="129"/>
      <c r="X231" s="129"/>
      <c r="Y231" s="129"/>
      <c r="Z231" s="129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1720.0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  <c r="U232" s="129"/>
      <c r="V232" s="129"/>
      <c r="W232" s="129"/>
      <c r="X232" s="129"/>
      <c r="Y232" s="129"/>
      <c r="Z232" s="129"/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673.0</v>
      </c>
      <c r="G233" s="136">
        <v>0.0</v>
      </c>
      <c r="H233" s="136">
        <v>225.0</v>
      </c>
      <c r="I233" s="136">
        <v>424.0</v>
      </c>
      <c r="J233" s="136">
        <v>0.0</v>
      </c>
      <c r="K233" s="136">
        <v>0.0</v>
      </c>
      <c r="L233" s="136">
        <v>601.0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  <c r="U233" s="129"/>
      <c r="V233" s="129"/>
      <c r="W233" s="129"/>
      <c r="X233" s="129"/>
      <c r="Y233" s="129"/>
      <c r="Z233" s="129"/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  <c r="U234" s="129"/>
      <c r="V234" s="129"/>
      <c r="W234" s="129"/>
      <c r="X234" s="129"/>
      <c r="Y234" s="129"/>
      <c r="Z234" s="129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1441.2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  <c r="U235" s="129"/>
      <c r="V235" s="129"/>
      <c r="W235" s="129"/>
      <c r="X235" s="129"/>
      <c r="Y235" s="129"/>
      <c r="Z235" s="129"/>
    </row>
    <row r="236" ht="18.0" customHeight="1">
      <c r="A236" s="134" t="s">
        <v>233</v>
      </c>
      <c r="B236" s="134" t="s">
        <v>38</v>
      </c>
      <c r="C236" s="134" t="s">
        <v>39</v>
      </c>
      <c r="D236" s="135">
        <v>825.0</v>
      </c>
      <c r="E236" s="136">
        <v>1200.0</v>
      </c>
      <c r="F236" s="136">
        <v>0.0</v>
      </c>
      <c r="G236" s="136">
        <v>0.0</v>
      </c>
      <c r="H236" s="136">
        <v>225.0</v>
      </c>
      <c r="I236" s="136">
        <v>975.0</v>
      </c>
      <c r="J236" s="136">
        <v>0.0</v>
      </c>
      <c r="K236" s="136">
        <v>0.0</v>
      </c>
      <c r="L236" s="136">
        <v>0.0</v>
      </c>
      <c r="M236" s="136">
        <v>0.0</v>
      </c>
      <c r="N236" s="136">
        <v>0.0</v>
      </c>
      <c r="O236" s="136">
        <v>0.0</v>
      </c>
      <c r="P236" s="136">
        <v>0.0</v>
      </c>
      <c r="Q236" s="136">
        <v>0.0</v>
      </c>
      <c r="R236" s="136">
        <v>0.0</v>
      </c>
      <c r="S236" s="137">
        <v>45823.0</v>
      </c>
      <c r="T236" s="137">
        <v>46187.0</v>
      </c>
      <c r="U236" s="129"/>
      <c r="V236" s="129"/>
      <c r="W236" s="129"/>
      <c r="X236" s="129"/>
      <c r="Y236" s="129"/>
      <c r="Z236" s="129"/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1040.0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  <c r="U237" s="129"/>
      <c r="V237" s="129"/>
      <c r="W237" s="129"/>
      <c r="X237" s="129"/>
      <c r="Y237" s="129"/>
      <c r="Z237" s="129"/>
    </row>
    <row r="238" ht="18.0" customHeight="1">
      <c r="A238" s="134" t="s">
        <v>235</v>
      </c>
      <c r="B238" s="134" t="s">
        <v>38</v>
      </c>
      <c r="C238" s="134" t="s">
        <v>39</v>
      </c>
      <c r="D238" s="135">
        <v>825.0</v>
      </c>
      <c r="E238" s="136">
        <v>1250.0</v>
      </c>
      <c r="F238" s="136">
        <v>573.15</v>
      </c>
      <c r="G238" s="136">
        <v>0.0</v>
      </c>
      <c r="H238" s="136">
        <v>225.0</v>
      </c>
      <c r="I238" s="136">
        <v>1025.0</v>
      </c>
      <c r="J238" s="136">
        <v>0.0</v>
      </c>
      <c r="K238" s="136">
        <v>0.0</v>
      </c>
      <c r="L238" s="136">
        <v>0.0</v>
      </c>
      <c r="M238" s="136">
        <v>0.0</v>
      </c>
      <c r="N238" s="136">
        <v>0.0</v>
      </c>
      <c r="O238" s="136">
        <v>0.0</v>
      </c>
      <c r="P238" s="136">
        <v>0.0</v>
      </c>
      <c r="Q238" s="136">
        <v>0.0</v>
      </c>
      <c r="R238" s="136">
        <v>0.0</v>
      </c>
      <c r="S238" s="137">
        <v>45139.0</v>
      </c>
      <c r="T238" s="137">
        <v>45987.0</v>
      </c>
      <c r="U238" s="129"/>
      <c r="V238" s="129"/>
      <c r="W238" s="129"/>
      <c r="X238" s="129"/>
      <c r="Y238" s="129"/>
      <c r="Z238" s="129"/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-2186.0</v>
      </c>
      <c r="G239" s="136">
        <v>0.0</v>
      </c>
      <c r="H239" s="136">
        <v>125.0</v>
      </c>
      <c r="I239" s="136">
        <v>150.0</v>
      </c>
      <c r="J239" s="136">
        <v>0.0</v>
      </c>
      <c r="K239" s="136">
        <v>0.0</v>
      </c>
      <c r="L239" s="136">
        <v>723.0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  <c r="U239" s="129"/>
      <c r="V239" s="129"/>
      <c r="W239" s="129"/>
      <c r="X239" s="129"/>
      <c r="Y239" s="129"/>
      <c r="Z239" s="129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1125.0</v>
      </c>
      <c r="F240" s="136">
        <v>842.0</v>
      </c>
      <c r="G240" s="136">
        <v>0.0</v>
      </c>
      <c r="H240" s="136">
        <v>225.0</v>
      </c>
      <c r="I240" s="136">
        <v>4.0</v>
      </c>
      <c r="J240" s="136">
        <v>0.0</v>
      </c>
      <c r="K240" s="136">
        <v>0.0</v>
      </c>
      <c r="L240" s="136">
        <v>896.0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/>
      <c r="U240" s="129"/>
      <c r="V240" s="129"/>
      <c r="W240" s="129"/>
      <c r="X240" s="129"/>
      <c r="Y240" s="129"/>
      <c r="Z240" s="129"/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0.0</v>
      </c>
      <c r="G241" s="136">
        <v>0.0</v>
      </c>
      <c r="H241" s="136">
        <v>225.0</v>
      </c>
      <c r="I241" s="136">
        <v>108.0</v>
      </c>
      <c r="J241" s="136">
        <v>0.0</v>
      </c>
      <c r="K241" s="136">
        <v>0.0</v>
      </c>
      <c r="L241" s="136">
        <v>917.0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  <c r="U241" s="129"/>
      <c r="V241" s="129"/>
      <c r="W241" s="129"/>
      <c r="X241" s="129"/>
      <c r="Y241" s="129"/>
      <c r="Z241" s="129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  <c r="U242" s="129"/>
      <c r="V242" s="129"/>
      <c r="W242" s="129"/>
      <c r="X242" s="129"/>
      <c r="Y242" s="129"/>
      <c r="Z242" s="129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748.3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  <c r="U243" s="129"/>
      <c r="V243" s="129"/>
      <c r="W243" s="129"/>
      <c r="X243" s="129"/>
      <c r="Y243" s="129"/>
      <c r="Z243" s="129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  <c r="U244" s="129"/>
      <c r="V244" s="129"/>
      <c r="W244" s="129"/>
      <c r="X244" s="129"/>
      <c r="Y244" s="129"/>
      <c r="Z244" s="129"/>
    </row>
    <row r="245" ht="18.0" customHeight="1">
      <c r="A245" s="134" t="s">
        <v>242</v>
      </c>
      <c r="B245" s="134" t="s">
        <v>38</v>
      </c>
      <c r="C245" s="134" t="s">
        <v>39</v>
      </c>
      <c r="D245" s="135">
        <v>825.0</v>
      </c>
      <c r="E245" s="136">
        <v>1250.0</v>
      </c>
      <c r="F245" s="136">
        <v>1250.0</v>
      </c>
      <c r="G245" s="136">
        <v>0.0</v>
      </c>
      <c r="H245" s="136">
        <v>225.0</v>
      </c>
      <c r="I245" s="136">
        <v>1025.0</v>
      </c>
      <c r="J245" s="136">
        <v>0.0</v>
      </c>
      <c r="K245" s="136">
        <v>0.0</v>
      </c>
      <c r="L245" s="136">
        <v>0.0</v>
      </c>
      <c r="M245" s="136">
        <v>0.0</v>
      </c>
      <c r="N245" s="136">
        <v>0.0</v>
      </c>
      <c r="O245" s="136">
        <v>0.0</v>
      </c>
      <c r="P245" s="136">
        <v>0.0</v>
      </c>
      <c r="Q245" s="136">
        <v>0.0</v>
      </c>
      <c r="R245" s="136">
        <v>0.0</v>
      </c>
      <c r="S245" s="137">
        <v>45962.0</v>
      </c>
      <c r="T245" s="137">
        <v>46326.0</v>
      </c>
      <c r="U245" s="129"/>
      <c r="V245" s="129"/>
      <c r="W245" s="129"/>
      <c r="X245" s="129"/>
      <c r="Y245" s="129"/>
      <c r="Z245" s="129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/>
      <c r="U246" s="129"/>
      <c r="V246" s="129"/>
      <c r="W246" s="129"/>
      <c r="X246" s="129"/>
      <c r="Y246" s="129"/>
      <c r="Z246" s="129"/>
    </row>
    <row r="247" ht="18.0" customHeight="1">
      <c r="A247" s="138" t="s">
        <v>244</v>
      </c>
      <c r="B247" s="138"/>
      <c r="C247" s="138" t="s">
        <v>245</v>
      </c>
      <c r="D247" s="139">
        <v>40350.0</v>
      </c>
      <c r="E247" s="140">
        <v>55759.3</v>
      </c>
      <c r="F247" s="140">
        <v>18248.24</v>
      </c>
      <c r="G247" s="140">
        <v>0.0</v>
      </c>
      <c r="H247" s="140">
        <v>9545.8</v>
      </c>
      <c r="I247" s="140">
        <v>38068.5</v>
      </c>
      <c r="J247" s="140">
        <v>0.0</v>
      </c>
      <c r="K247" s="140">
        <v>0.0</v>
      </c>
      <c r="L247" s="140">
        <v>8055.0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  <c r="U247" s="129"/>
      <c r="V247" s="129"/>
      <c r="W247" s="129"/>
      <c r="X247" s="129"/>
      <c r="Y247" s="129"/>
      <c r="Z247" s="129"/>
    </row>
    <row r="248" ht="18.0" customHeight="1">
      <c r="A248" s="133" t="s">
        <v>246</v>
      </c>
      <c r="U248" s="129"/>
      <c r="V248" s="129"/>
      <c r="W248" s="129"/>
      <c r="X248" s="129"/>
      <c r="Y248" s="129"/>
      <c r="Z248" s="129"/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215.0</v>
      </c>
      <c r="F249" s="136">
        <v>586.67</v>
      </c>
      <c r="G249" s="136">
        <v>0.0</v>
      </c>
      <c r="H249" s="136">
        <v>0.0</v>
      </c>
      <c r="I249" s="136">
        <v>215.0</v>
      </c>
      <c r="J249" s="136">
        <v>0.0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  <c r="U249" s="129"/>
      <c r="V249" s="129"/>
      <c r="W249" s="129"/>
      <c r="X249" s="129"/>
      <c r="Y249" s="129"/>
      <c r="Z249" s="129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0.0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46081.0</v>
      </c>
      <c r="U250" s="129"/>
      <c r="V250" s="129"/>
      <c r="W250" s="129"/>
      <c r="X250" s="129"/>
      <c r="Y250" s="129"/>
      <c r="Z250" s="129"/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724.92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  <c r="U251" s="129"/>
      <c r="V251" s="129"/>
      <c r="W251" s="129"/>
      <c r="X251" s="129"/>
      <c r="Y251" s="129"/>
      <c r="Z251" s="129"/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736.25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46112.0</v>
      </c>
      <c r="U252" s="129"/>
      <c r="V252" s="129"/>
      <c r="W252" s="129"/>
      <c r="X252" s="129"/>
      <c r="Y252" s="129"/>
      <c r="Z252" s="129"/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29.57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  <c r="U253" s="129"/>
      <c r="V253" s="129"/>
      <c r="W253" s="129"/>
      <c r="X253" s="129"/>
      <c r="Y253" s="129"/>
      <c r="Z253" s="129"/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0.0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  <c r="U254" s="129"/>
      <c r="V254" s="129"/>
      <c r="W254" s="129"/>
      <c r="X254" s="129"/>
      <c r="Y254" s="129"/>
      <c r="Z254" s="129"/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0.0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  <c r="U255" s="129"/>
      <c r="V255" s="129"/>
      <c r="W255" s="129"/>
      <c r="X255" s="129"/>
      <c r="Y255" s="129"/>
      <c r="Z255" s="129"/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0.0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46112.0</v>
      </c>
      <c r="U256" s="129"/>
      <c r="V256" s="129"/>
      <c r="W256" s="129"/>
      <c r="X256" s="129"/>
      <c r="Y256" s="129"/>
      <c r="Z256" s="129"/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-57.41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  <c r="U257" s="129"/>
      <c r="V257" s="129"/>
      <c r="W257" s="129"/>
      <c r="X257" s="129"/>
      <c r="Y257" s="129"/>
      <c r="Z257" s="129"/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0.0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  <c r="U258" s="129"/>
      <c r="V258" s="129"/>
      <c r="W258" s="129"/>
      <c r="X258" s="129"/>
      <c r="Y258" s="129"/>
      <c r="Z258" s="129"/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829.57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  <c r="U259" s="129"/>
      <c r="V259" s="129"/>
      <c r="W259" s="129"/>
      <c r="X259" s="129"/>
      <c r="Y259" s="129"/>
      <c r="Z259" s="129"/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851.69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  <c r="U260" s="129"/>
      <c r="V260" s="129"/>
      <c r="W260" s="129"/>
      <c r="X260" s="129"/>
      <c r="Y260" s="129"/>
      <c r="Z260" s="129"/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0.0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46072.0</v>
      </c>
      <c r="U261" s="129"/>
      <c r="V261" s="129"/>
      <c r="W261" s="129"/>
      <c r="X261" s="129"/>
      <c r="Y261" s="129"/>
      <c r="Z261" s="129"/>
    </row>
    <row r="262" ht="18.0" customHeight="1">
      <c r="A262" s="134" t="s">
        <v>76</v>
      </c>
      <c r="B262" s="134" t="s">
        <v>56</v>
      </c>
      <c r="C262" s="134" t="s">
        <v>39</v>
      </c>
      <c r="D262" s="135">
        <v>675.0</v>
      </c>
      <c r="E262" s="136">
        <v>775.0</v>
      </c>
      <c r="F262" s="136">
        <v>734.92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  <c r="U262" s="129"/>
      <c r="V262" s="129"/>
      <c r="W262" s="129"/>
      <c r="X262" s="129"/>
      <c r="Y262" s="129"/>
      <c r="Z262" s="129"/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650.0</v>
      </c>
      <c r="F263" s="136">
        <v>712.5</v>
      </c>
      <c r="G263" s="136">
        <v>0.0</v>
      </c>
      <c r="H263" s="136">
        <v>0.0</v>
      </c>
      <c r="I263" s="136">
        <v>650.0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/>
      <c r="U263" s="129"/>
      <c r="V263" s="129"/>
      <c r="W263" s="129"/>
      <c r="X263" s="129"/>
      <c r="Y263" s="129"/>
      <c r="Z263" s="129"/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-13.77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46082.0</v>
      </c>
      <c r="U264" s="129"/>
      <c r="V264" s="129"/>
      <c r="W264" s="129"/>
      <c r="X264" s="129"/>
      <c r="Y264" s="129"/>
      <c r="Z264" s="129"/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-36.83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  <c r="U265" s="129"/>
      <c r="V265" s="129"/>
      <c r="W265" s="129"/>
      <c r="X265" s="129"/>
      <c r="Y265" s="129"/>
      <c r="Z265" s="129"/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770.64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  <c r="U266" s="129"/>
      <c r="V266" s="129"/>
      <c r="W266" s="129"/>
      <c r="X266" s="129"/>
      <c r="Y266" s="129"/>
      <c r="Z266" s="129"/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0.0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46038.0</v>
      </c>
      <c r="U267" s="129"/>
      <c r="V267" s="129"/>
      <c r="W267" s="129"/>
      <c r="X267" s="129"/>
      <c r="Y267" s="129"/>
      <c r="Z267" s="129"/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700.0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45930.0</v>
      </c>
      <c r="U268" s="129"/>
      <c r="V268" s="129"/>
      <c r="W268" s="129"/>
      <c r="X268" s="129"/>
      <c r="Y268" s="129"/>
      <c r="Z268" s="129"/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575.0</v>
      </c>
      <c r="F269" s="136">
        <v>0.0</v>
      </c>
      <c r="G269" s="136">
        <v>0.0</v>
      </c>
      <c r="H269" s="136">
        <v>0.0</v>
      </c>
      <c r="I269" s="136">
        <v>575.0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/>
      <c r="U269" s="129"/>
      <c r="V269" s="129"/>
      <c r="W269" s="129"/>
      <c r="X269" s="129"/>
      <c r="Y269" s="129"/>
      <c r="Z269" s="129"/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0.0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  <c r="U270" s="129"/>
      <c r="V270" s="129"/>
      <c r="W270" s="129"/>
      <c r="X270" s="129"/>
      <c r="Y270" s="129"/>
      <c r="Z270" s="129"/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385.57</v>
      </c>
      <c r="G271" s="136">
        <v>0.0</v>
      </c>
      <c r="H271" s="136">
        <v>0.0</v>
      </c>
      <c r="I271" s="136">
        <v>56.0</v>
      </c>
      <c r="J271" s="136">
        <v>694.0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46029.0</v>
      </c>
      <c r="U271" s="129"/>
      <c r="V271" s="129"/>
      <c r="W271" s="129"/>
      <c r="X271" s="129"/>
      <c r="Y271" s="129"/>
      <c r="Z271" s="129"/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0.0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45961.0</v>
      </c>
      <c r="U272" s="129"/>
      <c r="V272" s="129"/>
      <c r="W272" s="129"/>
      <c r="X272" s="129"/>
      <c r="Y272" s="129"/>
      <c r="Z272" s="129"/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0.0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  <c r="U273" s="129"/>
      <c r="V273" s="129"/>
      <c r="W273" s="129"/>
      <c r="X273" s="129"/>
      <c r="Y273" s="129"/>
      <c r="Z273" s="129"/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737.01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  <c r="U274" s="129"/>
      <c r="V274" s="129"/>
      <c r="W274" s="129"/>
      <c r="X274" s="129"/>
      <c r="Y274" s="129"/>
      <c r="Z274" s="129"/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0.0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  <c r="U275" s="129"/>
      <c r="V275" s="129"/>
      <c r="W275" s="129"/>
      <c r="X275" s="129"/>
      <c r="Y275" s="129"/>
      <c r="Z275" s="129"/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750.0</v>
      </c>
      <c r="F276" s="136">
        <v>0.0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0.0</v>
      </c>
      <c r="S276" s="137">
        <v>44742.0</v>
      </c>
      <c r="T276" s="137">
        <v>46203.0</v>
      </c>
      <c r="U276" s="129"/>
      <c r="V276" s="129"/>
      <c r="W276" s="129"/>
      <c r="X276" s="129"/>
      <c r="Y276" s="129"/>
      <c r="Z276" s="129"/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767.0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  <c r="U277" s="129"/>
      <c r="V277" s="129"/>
      <c r="W277" s="129"/>
      <c r="X277" s="129"/>
      <c r="Y277" s="129"/>
      <c r="Z277" s="129"/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804.57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45929.0</v>
      </c>
      <c r="U278" s="129"/>
      <c r="V278" s="129"/>
      <c r="W278" s="129"/>
      <c r="X278" s="129"/>
      <c r="Y278" s="129"/>
      <c r="Z278" s="129"/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21565.0</v>
      </c>
      <c r="F279" s="140">
        <v>9262.87</v>
      </c>
      <c r="G279" s="140">
        <v>0.0</v>
      </c>
      <c r="H279" s="140">
        <v>0.0</v>
      </c>
      <c r="I279" s="140">
        <v>18769.0</v>
      </c>
      <c r="J279" s="140">
        <v>2746.0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0.0</v>
      </c>
      <c r="S279" s="141"/>
      <c r="T279" s="141"/>
      <c r="U279" s="129"/>
      <c r="V279" s="129"/>
      <c r="W279" s="129"/>
      <c r="X279" s="129"/>
      <c r="Y279" s="129"/>
      <c r="Z279" s="129"/>
    </row>
    <row r="280" ht="18.0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8.0" customHeight="1">
      <c r="A281" s="138" t="s">
        <v>248</v>
      </c>
      <c r="B281" s="138"/>
      <c r="C281" s="138" t="s">
        <v>249</v>
      </c>
      <c r="D281" s="139">
        <v>229909.0</v>
      </c>
      <c r="E281" s="140">
        <v>210496.8</v>
      </c>
      <c r="F281" s="140">
        <v>101840.52</v>
      </c>
      <c r="G281" s="140">
        <v>0.0</v>
      </c>
      <c r="H281" s="140">
        <v>10236.8</v>
      </c>
      <c r="I281" s="140">
        <v>166922.5</v>
      </c>
      <c r="J281" s="140">
        <v>3674.0</v>
      </c>
      <c r="K281" s="140">
        <v>2845.0</v>
      </c>
      <c r="L281" s="140">
        <v>18061.0</v>
      </c>
      <c r="M281" s="140">
        <v>1958.0</v>
      </c>
      <c r="N281" s="140">
        <v>6434.0</v>
      </c>
      <c r="O281" s="140">
        <v>300.0</v>
      </c>
      <c r="P281" s="140">
        <v>25.0</v>
      </c>
      <c r="Q281" s="140">
        <v>15.0</v>
      </c>
      <c r="R281" s="140">
        <v>25.5</v>
      </c>
      <c r="S281" s="141"/>
      <c r="T281" s="141"/>
      <c r="U281" s="129"/>
      <c r="V281" s="129"/>
      <c r="W281" s="129"/>
      <c r="X281" s="129"/>
      <c r="Y281" s="129"/>
      <c r="Z281" s="129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0.9294823529</v>
      </c>
      <c r="D282" s="145">
        <f t="shared" ref="D282:D284" si="2">IFERROR(
  SUMPRODUCT((A$285:A$295=A282)*D$285:D$295*I$285:I$295) /
  SUMPRODUCT((A$285:A$295=A282)*I$285:I$295),
0)</f>
        <v>0.5850116975</v>
      </c>
      <c r="E282" s="146">
        <f t="shared" ref="E282:E284" si="3">IFERROR(
  SUMPRODUCT((A$285:A$295=A282)*E$285:E$295),
0)
</f>
        <v>26431.14</v>
      </c>
      <c r="F282" s="147">
        <f t="shared" ref="F282:F284" si="4">IFERROR(
  SUMPRODUCT((A$285:A$295=A282)*F$285:F$295),
0)
</f>
        <v>30548.4</v>
      </c>
      <c r="G282" s="148">
        <f t="shared" ref="G282:G284" si="5">IFERROR(
  SUMPRODUCT((A$285:A$295=A282)*G$285:G$295),
0)
</f>
        <v>0</v>
      </c>
      <c r="H282" s="149">
        <f t="shared" ref="H282:H284" si="6">IFERROR(
  SUMPRODUCT((A$285:A$295=A282)*H$285:H$295*I$285:I$295) /
  SUMPRODUCT((A$285:A$295=A282)*I$285:I$295),
0)</f>
        <v>0.5764705882</v>
      </c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1"/>
    </row>
    <row r="283" ht="18.0" customHeight="1">
      <c r="A283" s="152" t="s">
        <v>251</v>
      </c>
      <c r="B283" s="153"/>
      <c r="C283" s="154">
        <f t="shared" si="1"/>
        <v>0.765</v>
      </c>
      <c r="D283" s="155">
        <f t="shared" si="2"/>
        <v>0.5478031112</v>
      </c>
      <c r="E283" s="156">
        <f t="shared" si="3"/>
        <v>17420.99</v>
      </c>
      <c r="F283" s="157">
        <f t="shared" si="4"/>
        <v>22403.99</v>
      </c>
      <c r="G283" s="158">
        <f t="shared" si="5"/>
        <v>0</v>
      </c>
      <c r="H283" s="149">
        <f t="shared" si="6"/>
        <v>0.5641025641</v>
      </c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59"/>
    </row>
    <row r="284" ht="18.0" customHeight="1">
      <c r="A284" s="160" t="s">
        <v>252</v>
      </c>
      <c r="B284" s="161"/>
      <c r="C284" s="162">
        <f t="shared" si="1"/>
        <v>0.9106964286</v>
      </c>
      <c r="D284" s="163">
        <f t="shared" si="2"/>
        <v>0.606533193</v>
      </c>
      <c r="E284" s="164">
        <f t="shared" si="3"/>
        <v>36822.34</v>
      </c>
      <c r="F284" s="165">
        <f t="shared" si="4"/>
        <v>48888.13</v>
      </c>
      <c r="G284" s="166">
        <f t="shared" si="5"/>
        <v>1</v>
      </c>
      <c r="H284" s="149">
        <f t="shared" si="6"/>
        <v>0.4485670864</v>
      </c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8"/>
    </row>
    <row r="285" ht="18.0" customHeight="1">
      <c r="A285" s="169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"),1.0)</f>
        <v>1</v>
      </c>
      <c r="D285" s="172">
        <f t="array" ref="D285">SUM(MAP(E11:E14, F11:F14, LAMBDA(e,f, MAX(0, e-f)))) / SUM(E11:E14)
</f>
        <v>0.7536305732</v>
      </c>
      <c r="E285" s="173">
        <f t="array" ref="E285">SUM(MAP(E$11:E$14, F$11:F$14, LAMBDA(e,f, MIN(e, f))))
</f>
        <v>967</v>
      </c>
      <c r="F285" s="174">
        <f>F15</f>
        <v>967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"),0.75)</f>
        <v>0.75</v>
      </c>
      <c r="I285" s="175">
        <v>4.0</v>
      </c>
      <c r="J285" s="177">
        <v>46340.0</v>
      </c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</row>
    <row r="286" ht="18.0" customHeight="1">
      <c r="A286" s="169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0.6513761468</v>
      </c>
      <c r="E286" s="173">
        <f t="array" ref="E286">SUM(MAP(E$17:E$22, F$17:F$22, LAMBDA(e,f, MIN(e, f))))
</f>
        <v>950</v>
      </c>
      <c r="F286" s="174">
        <f>F23</f>
        <v>950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"),0.5)</f>
        <v>0.5</v>
      </c>
      <c r="I286" s="175">
        <v>6.0</v>
      </c>
      <c r="J286" s="179" t="s">
        <v>255</v>
      </c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</row>
    <row r="287" ht="18.0" customHeight="1">
      <c r="A287" s="169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"),1.0)</f>
        <v>1</v>
      </c>
      <c r="D287" s="172">
        <f t="array" ref="D287">SUM(MAP(E25:E29, F25:F29, LAMBDA(e, f, MAX(0, e - f)))) / SUM(E25:E29)</f>
        <v>0.4055944056</v>
      </c>
      <c r="E287" s="173">
        <f t="array" ref="E287">SUM(MAP(E$25:E$29, F$25:F$29, LAMBDA(e,f, MIN(e, f))))
</f>
        <v>2125</v>
      </c>
      <c r="F287" s="174">
        <f>F30</f>
        <v>2662.5</v>
      </c>
      <c r="G287" s="175">
        <f>IFERROR(__xludf.DUMMYFUNCTION("SUMPRODUCT(--(C25:C29&lt;&gt;""Vacant-Unrented""),--(C25:C29&lt;&gt;""Vacant-Rented""),--((N(W25:W29)&gt;N(X25:X29))+N(REGEXMATCH(LOWER(C25:C29),""evict""))&gt;0))"),0.0)</f>
        <v>0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"),0.6)</f>
        <v>0.6</v>
      </c>
      <c r="I287" s="175">
        <v>5.0</v>
      </c>
      <c r="J287" s="179" t="s">
        <v>257</v>
      </c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</row>
    <row r="288" ht="18.0" customHeight="1">
      <c r="A288" s="169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0.31</v>
      </c>
      <c r="E288" s="173">
        <f t="array" ref="E288">SUM(MAP(E$32:E$33, F$32:F$33, LAMBDA(e,f, MIN(e, f))))
</f>
        <v>966</v>
      </c>
      <c r="F288" s="174">
        <f>F34</f>
        <v>1212.01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  <c r="J288" s="179" t="s">
        <v>259</v>
      </c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</row>
    <row r="289" ht="18.0" customHeight="1">
      <c r="A289" s="169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0.5</v>
      </c>
      <c r="E289" s="173">
        <f t="array" ref="E289">SUM(MAP(E$36:E$37, F$36:F$37, LAMBDA(e,f, MIN(e, f))))
</f>
        <v>1200</v>
      </c>
      <c r="F289" s="174">
        <f>F38</f>
        <v>1200</v>
      </c>
      <c r="G289" s="175">
        <f>IFERROR(__xludf.DUMMYFUNCTION("SUMPRODUCT(--(C40:C75&lt;&gt;""Vacant-Unrented""),--(C40:C75&lt;&gt;""Vacant-Rented""),--((N(W40:W75)&gt;N(X40:X75))+N(REGEXMATCH(LOWER(C40:C75),""evict""))&gt;0))"),0.0)</f>
        <v>0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  <c r="J289" s="179" t="s">
        <v>261</v>
      </c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</row>
    <row r="290" ht="18.0" customHeight="1">
      <c r="A290" s="180" t="s">
        <v>250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0.5988922916</v>
      </c>
      <c r="E290" s="173">
        <f t="array" ref="E290">SUM(MAP(E$40:E$75, F$40:F$75, LAMBDA(e,f, MIN(e, f))))
</f>
        <v>11525.83</v>
      </c>
      <c r="F290" s="174">
        <f>F76</f>
        <v>14294.02</v>
      </c>
      <c r="G290" s="175">
        <f>IFERROR(__xludf.DUMMYFUNCTION("SUMPRODUCT(--(C40:C75&lt;&gt;""Vacant-Unrented""),--(C40:C75&lt;&gt;""Vacant-Rented""),--((N(W40:W75)&gt;N(X40:X75))+N(REGEXMATCH(LOWER(C40:C75),""evict""))&gt;0))"),0.0)</f>
        <v>0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"),0.5)</f>
        <v>0.5</v>
      </c>
      <c r="I290" s="175">
        <v>36.0</v>
      </c>
      <c r="J290" s="179" t="s">
        <v>263</v>
      </c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</row>
    <row r="291" ht="18.0" customHeight="1">
      <c r="A291" s="169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"),0.765)</f>
        <v>0.765</v>
      </c>
      <c r="D291" s="172">
        <f t="array" ref="D291">SUM(MAP(E79:E129, F79:F129, LAMBDA(e,f, MAX(0, e-f)))) / SUM(E79:E129)
</f>
        <v>0.5478031112</v>
      </c>
      <c r="E291" s="173">
        <f t="array" ref="E291">SUM(MAP(E$78:E$128, F$78:F$128, LAMBDA(e,f, MIN(e, f))))
</f>
        <v>17420.99</v>
      </c>
      <c r="F291" s="174">
        <f>F129</f>
        <v>22403.99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"),0.0)</f>
        <v>0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"),0.5641025641025641)</f>
        <v>0.5641025641</v>
      </c>
      <c r="I291" s="175">
        <v>51.0</v>
      </c>
      <c r="J291" s="179" t="s">
        <v>265</v>
      </c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</row>
    <row r="292" ht="18.0" customHeight="1">
      <c r="A292" s="169" t="s">
        <v>252</v>
      </c>
      <c r="B292" s="170" t="s">
        <v>266</v>
      </c>
      <c r="C292" s="171">
        <f>IFERROR(__xludf.DUMMYFUNCTION("IF(ISNUMBER(SEARCH(""%"",C171)), VALUE(REGEXREPLACE(C171,""[^0-9.]"",""""))/100, VALUE(REGEXREPLACE(C171,""[^0-9.]"","""")))
"),0.875)</f>
        <v>0.875</v>
      </c>
      <c r="D292" s="172">
        <f t="array" ref="D292">SUM(MAP(E131:E170, F131:F170, LAMBDA(e,f, MAX(0, e-f)))) / SUM(E131:E170)
</f>
        <v>0.330223055</v>
      </c>
      <c r="E292" s="173">
        <f t="array" ref="E292">SUM(MAP(E$131:E$170, F$131:F$170, LAMBDA(e,f, MIN(e, f))))
</f>
        <v>20553.78</v>
      </c>
      <c r="F292" s="174">
        <f>F171</f>
        <v>26256.37</v>
      </c>
      <c r="G292" s="175">
        <f>IFERROR(__xludf.DUMMYFUNCTION("SUMPRODUCT(--(C131:C170&lt;&gt;""Vacant-Unrented""),--(C131:C170&lt;&gt;""Vacant-Rented""),--((N(W131:W170)&gt;N(X131:X170))+N(REGEXMATCH(LOWER(C131:C170),""evict""))&gt;0))"),1.0)</f>
        <v>1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"),0.3142857142857143)</f>
        <v>0.3142857143</v>
      </c>
      <c r="I292" s="175">
        <v>40.0</v>
      </c>
      <c r="J292" s="179" t="s">
        <v>267</v>
      </c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</row>
    <row r="293" ht="18.0" customHeight="1">
      <c r="A293" s="169" t="s">
        <v>252</v>
      </c>
      <c r="B293" s="170" t="s">
        <v>268</v>
      </c>
      <c r="C293" s="171">
        <f>IFERROR(__xludf.DUMMYFUNCTION("IF(ISNUMBER(SEARCH(""%"",C195)), VALUE(REGEXREPLACE(C195,""[^0-9.]"",""""))/100, VALUE(REGEXREPLACE(C195,""[^0-9.]"","""")))
"),0.909)</f>
        <v>0.909</v>
      </c>
      <c r="D293" s="172">
        <f t="array" ref="D293">SUM(MAP(E174:E195, F174:F195, LAMBDA(e,f, MAX(0, e-f)))) / SUM(E174:E195)
</f>
        <v>0.7202971002</v>
      </c>
      <c r="E293" s="173">
        <f t="array" ref="E293">SUM(MAP(E$173:E$194, F$173:F$194, LAMBDA(e,f, MIN(e, f))))
</f>
        <v>3863.52</v>
      </c>
      <c r="F293" s="174">
        <f>F195</f>
        <v>4383.52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"),0.6)</f>
        <v>0.6</v>
      </c>
      <c r="I293" s="175">
        <v>22.0</v>
      </c>
      <c r="J293" s="179" t="s">
        <v>269</v>
      </c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</row>
    <row r="294" ht="18.0" customHeight="1">
      <c r="A294" s="169" t="s">
        <v>252</v>
      </c>
      <c r="B294" s="170" t="s">
        <v>270</v>
      </c>
      <c r="C294" s="171">
        <f>IFERROR(__xludf.DUMMYFUNCTION("IF(ISNUMBER(SEARCH(""%"",C247)), VALUE(REGEXREPLACE(C247,""[^0-9.]"",""""))/100, VALUE(REGEXREPLACE(C247,""[^0-9.]"","""")))
"),0.94)</f>
        <v>0.94</v>
      </c>
      <c r="D294" s="172">
        <f t="array" ref="D294">SUM(MAP(E197:E246, F197:F246, LAMBDA(e,f, MAX(0, e-f)))) / SUM(E197:E246)
</f>
        <v>0.7775251841</v>
      </c>
      <c r="E294" s="173">
        <f t="array" ref="E294">SUM(MAP(E$197:E$246, F$197:F$246, LAMBDA(e,f, MIN(e, f))))
</f>
        <v>12405.04</v>
      </c>
      <c r="F294" s="174">
        <f>F247</f>
        <v>18248.24</v>
      </c>
      <c r="G294" s="175">
        <f>IFERROR(__xludf.DUMMYFUNCTION("SUMPRODUCT(--(C197:C246&lt;&gt;""Vacant-Unrented""),--(C197:C246&lt;&gt;""Vacant-Rented""),--((N(W197:W246)&gt;N(X197:X246))+N(REGEXMATCH(LOWER(C197:C246),""evict""))&gt;0))"),0.0)</f>
        <v>0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"),0.48936170212765956)</f>
        <v>0.4893617021</v>
      </c>
      <c r="I294" s="175">
        <v>50.0</v>
      </c>
      <c r="J294" s="179" t="s">
        <v>271</v>
      </c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</row>
    <row r="295" ht="18.0" customHeight="1">
      <c r="A295" s="180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0.5865040196</v>
      </c>
      <c r="E295" s="183">
        <f t="array" ref="E295">SUM(MAP(E$249:E$278, F$249:F$278, LAMBDA(e,f, MIN(e, f))))
</f>
        <v>8697.31</v>
      </c>
      <c r="F295" s="184">
        <f>F279</f>
        <v>9262.87</v>
      </c>
      <c r="G295" s="185">
        <f>IFERROR(__xludf.DUMMYFUNCTION("SUMPRODUCT(--(C249:C278&lt;&gt;""Vacant-Unrented""),--(C249:C278&lt;&gt;""Vacant-Rented""),--((N(W249:W278)&gt;N(X249:X278))+N(REGEXMATCH(LOWER(C249:C278),""evict""))&gt;0))"),0.0)</f>
        <v>0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"),0.6)</f>
        <v>0.6</v>
      </c>
      <c r="I295" s="175">
        <v>30.0</v>
      </c>
      <c r="J295" s="179" t="s">
        <v>273</v>
      </c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</row>
    <row r="296" ht="18.0" customHeight="1">
      <c r="A296" s="186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0)"),0.8872775665399238)</f>
        <v>0.8872775665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"),0.6167425348033794)</f>
        <v>0.6167425348</v>
      </c>
      <c r="E296" s="190">
        <f t="shared" ref="E296:G296" si="7">sum(E285:E295)</f>
        <v>80674.47</v>
      </c>
      <c r="F296" s="190">
        <f t="shared" si="7"/>
        <v>101840.52</v>
      </c>
      <c r="G296" s="191">
        <f t="shared" si="7"/>
        <v>1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"),0.5181818181818182)</f>
        <v>0.5181818182</v>
      </c>
      <c r="I296" s="193"/>
      <c r="J296" s="194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</row>
    <row r="297" ht="18.0" customHeight="1">
      <c r="A297" s="129"/>
      <c r="B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8.0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8.0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8.0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8.0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8.0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8.0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8.0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8.0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8.0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8.0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8.0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8.0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8.0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8.0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8.0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8.0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8.0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8.0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8.0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8.0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8.0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8.0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8.0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8.0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8.0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8.0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8.0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8.0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8.0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8.0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8.0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8.0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8.0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8.0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8.0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8.0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8.0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8.0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8.0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8.0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8.0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8.0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8.0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8.0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8.0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8.0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8.0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8.0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8.0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8.0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8.0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8.0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8.0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8.0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8.0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8.0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8.0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8.0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8.0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8.0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8.0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8.0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8.0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8.0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8.0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8.0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8.0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8.0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8.0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8.0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8.0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8.0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8.0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8.0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8.0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8.0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8.0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8.0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8.0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8.0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8.0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8.0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8.0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8.0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8.0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8.0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8.0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8.0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8.0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8.0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8.0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8.0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8.0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8.0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8.0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8.0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8.0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8.0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8.0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8.0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8.0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8.0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8.0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8.0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8.0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8.0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8.0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8.0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8.0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8.0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8.0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8.0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8.0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8.0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8.0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8.0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8.0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8.0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8.0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8.0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8.0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8.0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8.0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8.0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8.0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8.0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8.0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8.0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8.0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8.0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8.0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8.0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8.0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8.0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8.0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8.0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8.0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8.0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8.0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8.0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8.0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8.0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8.0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8.0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8.0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8.0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8.0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8.0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8.0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8.0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8.0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8.0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8.0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8.0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8.0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8.0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8.0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8.0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8.0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8.0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8.0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8.0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8.0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8.0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8.0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8.0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8.0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8.0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8.0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8.0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8.0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8.0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8.0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8.0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8.0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8.0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8.0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8.0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8.0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8.0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8.0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8.0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8.0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8.0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8.0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8.0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8.0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8.0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8.0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8.0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8.0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8.0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8.0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5"/>
    <col customWidth="1" min="7" max="7" width="31.25"/>
    <col customWidth="1" min="8" max="8" width="111.13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28" t="s">
        <v>10</v>
      </c>
    </row>
    <row r="2" ht="18.0" customHeight="1">
      <c r="A2" s="130" t="s">
        <v>274</v>
      </c>
    </row>
    <row r="3" ht="18.0" customHeight="1">
      <c r="A3" s="130"/>
    </row>
    <row r="4" ht="18.0" customHeight="1">
      <c r="A4" s="131" t="s">
        <v>275</v>
      </c>
    </row>
    <row r="5" ht="18.0" customHeight="1">
      <c r="A5" s="131" t="s">
        <v>276</v>
      </c>
    </row>
    <row r="6" ht="18.0" customHeight="1">
      <c r="A6" s="131" t="s">
        <v>277</v>
      </c>
    </row>
    <row r="7" ht="18.0" customHeight="1">
      <c r="A7" s="131" t="s">
        <v>278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0.0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-8.0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39</v>
      </c>
      <c r="D14" s="135">
        <v>950.0</v>
      </c>
      <c r="E14" s="136">
        <v>1000.0</v>
      </c>
      <c r="F14" s="136">
        <v>0.0</v>
      </c>
      <c r="G14" s="136">
        <v>0.0</v>
      </c>
      <c r="H14" s="136">
        <v>0.0</v>
      </c>
      <c r="I14" s="136">
        <v>1000.0</v>
      </c>
      <c r="J14" s="136">
        <v>0.0</v>
      </c>
      <c r="K14" s="136">
        <v>0.0</v>
      </c>
      <c r="L14" s="136">
        <v>0.0</v>
      </c>
      <c r="M14" s="136">
        <v>0.0</v>
      </c>
      <c r="N14" s="136">
        <v>0.0</v>
      </c>
      <c r="O14" s="136">
        <v>0.0</v>
      </c>
      <c r="P14" s="136">
        <v>0.0</v>
      </c>
      <c r="Q14" s="136">
        <v>0.0</v>
      </c>
      <c r="R14" s="136">
        <v>0.0</v>
      </c>
      <c r="S14" s="137">
        <v>45366.0</v>
      </c>
      <c r="T14" s="137">
        <v>46095.0</v>
      </c>
    </row>
    <row r="15" ht="18.0" customHeight="1">
      <c r="A15" s="138" t="s">
        <v>43</v>
      </c>
      <c r="B15" s="138"/>
      <c r="C15" s="138" t="s">
        <v>44</v>
      </c>
      <c r="D15" s="139">
        <v>3800.0</v>
      </c>
      <c r="E15" s="140">
        <v>3925.0</v>
      </c>
      <c r="F15" s="140">
        <v>-8.0</v>
      </c>
      <c r="G15" s="140">
        <v>0.0</v>
      </c>
      <c r="H15" s="140">
        <v>0.0</v>
      </c>
      <c r="I15" s="140">
        <v>3532.0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46078.0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0.0</v>
      </c>
      <c r="F22" s="136">
        <v>0.0</v>
      </c>
      <c r="G22" s="136">
        <v>0.0</v>
      </c>
      <c r="H22" s="136">
        <v>0.0</v>
      </c>
      <c r="I22" s="136">
        <v>0.0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0.0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2725.0</v>
      </c>
      <c r="F23" s="140">
        <v>0.0</v>
      </c>
      <c r="G23" s="140">
        <v>0.0</v>
      </c>
      <c r="H23" s="140">
        <v>0.0</v>
      </c>
      <c r="I23" s="140">
        <v>2140.0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25.0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39</v>
      </c>
      <c r="D25" s="135">
        <v>485.0</v>
      </c>
      <c r="E25" s="136">
        <v>650.0</v>
      </c>
      <c r="F25" s="136">
        <v>912.5</v>
      </c>
      <c r="G25" s="136">
        <v>0.0</v>
      </c>
      <c r="H25" s="136">
        <v>0.0</v>
      </c>
      <c r="I25" s="136">
        <v>650.0</v>
      </c>
      <c r="J25" s="136">
        <v>0.0</v>
      </c>
      <c r="K25" s="136">
        <v>0.0</v>
      </c>
      <c r="L25" s="136">
        <v>0.0</v>
      </c>
      <c r="M25" s="136">
        <v>0.0</v>
      </c>
      <c r="N25" s="136">
        <v>0.0</v>
      </c>
      <c r="O25" s="136">
        <v>0.0</v>
      </c>
      <c r="P25" s="136">
        <v>0.0</v>
      </c>
      <c r="Q25" s="136">
        <v>0.0</v>
      </c>
      <c r="R25" s="136">
        <v>0.0</v>
      </c>
      <c r="S25" s="137">
        <v>45600.0</v>
      </c>
      <c r="T25" s="137">
        <v>45964.0</v>
      </c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-50.0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39</v>
      </c>
      <c r="D28" s="135">
        <v>621.0</v>
      </c>
      <c r="E28" s="136">
        <v>725.0</v>
      </c>
      <c r="F28" s="136">
        <v>1128.75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46066.0</v>
      </c>
    </row>
    <row r="30" ht="18.0" customHeight="1">
      <c r="A30" s="138" t="s">
        <v>57</v>
      </c>
      <c r="B30" s="138"/>
      <c r="C30" s="138" t="s">
        <v>44</v>
      </c>
      <c r="D30" s="139">
        <v>2969.0</v>
      </c>
      <c r="E30" s="140">
        <v>3575.0</v>
      </c>
      <c r="F30" s="140">
        <v>1991.25</v>
      </c>
      <c r="G30" s="140">
        <v>0.0</v>
      </c>
      <c r="H30" s="140">
        <v>0.0</v>
      </c>
      <c r="I30" s="140">
        <v>3575.0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750.0</v>
      </c>
      <c r="F32" s="136">
        <v>360.65</v>
      </c>
      <c r="G32" s="136">
        <v>0.0</v>
      </c>
      <c r="H32" s="136">
        <v>0.0</v>
      </c>
      <c r="I32" s="136">
        <v>750.0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958.51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1400.0</v>
      </c>
      <c r="F34" s="140">
        <v>1319.16</v>
      </c>
      <c r="G34" s="140">
        <v>0.0</v>
      </c>
      <c r="H34" s="140">
        <v>0.0</v>
      </c>
      <c r="I34" s="140">
        <v>1400.0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0.0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45991.0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46035.0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45108.0</v>
      </c>
      <c r="T44" s="137"/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606.25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46009.0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45954.0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0.0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45990.0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47</v>
      </c>
      <c r="D52" s="135">
        <v>950.0</v>
      </c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7"/>
      <c r="T52" s="137"/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800.0</v>
      </c>
      <c r="F54" s="136">
        <v>0.0</v>
      </c>
      <c r="G54" s="136">
        <v>0.0</v>
      </c>
      <c r="H54" s="136">
        <v>0.0</v>
      </c>
      <c r="I54" s="136">
        <v>800.0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45946.0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0.0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46081.0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750.0</v>
      </c>
      <c r="F58" s="136">
        <v>0.0</v>
      </c>
      <c r="G58" s="136">
        <v>0.0</v>
      </c>
      <c r="H58" s="136">
        <v>0.0</v>
      </c>
      <c r="I58" s="136">
        <v>750.0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46022.0</v>
      </c>
    </row>
    <row r="59" ht="18.0" customHeight="1">
      <c r="A59" s="134" t="s">
        <v>82</v>
      </c>
      <c r="B59" s="134" t="s">
        <v>56</v>
      </c>
      <c r="C59" s="134" t="s">
        <v>39</v>
      </c>
      <c r="D59" s="135">
        <v>700.0</v>
      </c>
      <c r="E59" s="136">
        <v>800.0</v>
      </c>
      <c r="F59" s="136">
        <v>0.0</v>
      </c>
      <c r="G59" s="136">
        <v>0.0</v>
      </c>
      <c r="H59" s="136">
        <v>0.0</v>
      </c>
      <c r="I59" s="136">
        <v>800.0</v>
      </c>
      <c r="J59" s="136">
        <v>0.0</v>
      </c>
      <c r="K59" s="136">
        <v>0.0</v>
      </c>
      <c r="L59" s="136">
        <v>0.0</v>
      </c>
      <c r="M59" s="136">
        <v>0.0</v>
      </c>
      <c r="N59" s="136">
        <v>0.0</v>
      </c>
      <c r="O59" s="136">
        <v>0.0</v>
      </c>
      <c r="P59" s="136">
        <v>0.0</v>
      </c>
      <c r="Q59" s="136">
        <v>0.0</v>
      </c>
      <c r="R59" s="136">
        <v>0.0</v>
      </c>
      <c r="S59" s="137">
        <v>45905.0</v>
      </c>
      <c r="T59" s="137">
        <v>46269.0</v>
      </c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1025.0</v>
      </c>
      <c r="F60" s="136">
        <v>240.83</v>
      </c>
      <c r="G60" s="136">
        <v>0.0</v>
      </c>
      <c r="H60" s="136">
        <v>0.0</v>
      </c>
      <c r="I60" s="136">
        <v>1025.0</v>
      </c>
      <c r="J60" s="136">
        <v>0.0</v>
      </c>
      <c r="K60" s="136">
        <v>0.0</v>
      </c>
      <c r="L60" s="136">
        <v>0.0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49.75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39</v>
      </c>
      <c r="D65" s="135">
        <v>700.0</v>
      </c>
      <c r="E65" s="136">
        <v>825.0</v>
      </c>
      <c r="F65" s="136">
        <v>1141.25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46077.0</v>
      </c>
    </row>
    <row r="68" ht="18.0" customHeight="1">
      <c r="A68" s="134" t="s">
        <v>91</v>
      </c>
      <c r="B68" s="134" t="s">
        <v>38</v>
      </c>
      <c r="C68" s="134" t="s">
        <v>39</v>
      </c>
      <c r="D68" s="135">
        <v>950.0</v>
      </c>
      <c r="E68" s="136">
        <v>800.0</v>
      </c>
      <c r="F68" s="136">
        <v>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776.25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700.0</v>
      </c>
      <c r="F70" s="136">
        <v>0.0</v>
      </c>
      <c r="G70" s="136">
        <v>0.0</v>
      </c>
      <c r="H70" s="136">
        <v>0.0</v>
      </c>
      <c r="I70" s="136">
        <v>700.0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/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1025.0</v>
      </c>
      <c r="F72" s="136">
        <v>2949.49</v>
      </c>
      <c r="G72" s="136">
        <v>0.0</v>
      </c>
      <c r="H72" s="136">
        <v>0.0</v>
      </c>
      <c r="I72" s="136">
        <v>1025.0</v>
      </c>
      <c r="J72" s="136">
        <v>0.0</v>
      </c>
      <c r="K72" s="136">
        <v>0.0</v>
      </c>
      <c r="L72" s="136">
        <v>0.0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555.0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46094.0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28735.0</v>
      </c>
      <c r="F76" s="140">
        <v>6318.82</v>
      </c>
      <c r="G76" s="140">
        <v>0.0</v>
      </c>
      <c r="H76" s="140">
        <v>0.0</v>
      </c>
      <c r="I76" s="140">
        <v>28670.0</v>
      </c>
      <c r="J76" s="140">
        <v>0.0</v>
      </c>
      <c r="K76" s="140">
        <v>0.0</v>
      </c>
      <c r="L76" s="140">
        <v>0.0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900.0</v>
      </c>
      <c r="F78" s="136">
        <v>0.0</v>
      </c>
      <c r="G78" s="136">
        <v>0.0</v>
      </c>
      <c r="H78" s="136">
        <v>0.0</v>
      </c>
      <c r="I78" s="136">
        <v>44.0</v>
      </c>
      <c r="J78" s="136">
        <v>0.0</v>
      </c>
      <c r="K78" s="136">
        <v>0.0</v>
      </c>
      <c r="L78" s="136">
        <v>856.0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47</v>
      </c>
      <c r="D79" s="135">
        <v>1400.0</v>
      </c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7"/>
      <c r="T79" s="137"/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107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46073.0</v>
      </c>
    </row>
    <row r="82" ht="18.0" customHeight="1">
      <c r="A82" s="134" t="s">
        <v>108</v>
      </c>
      <c r="B82" s="134" t="s">
        <v>104</v>
      </c>
      <c r="C82" s="134" t="s">
        <v>39</v>
      </c>
      <c r="D82" s="135">
        <v>1400.0</v>
      </c>
      <c r="E82" s="136">
        <v>1250.0</v>
      </c>
      <c r="F82" s="136">
        <v>1.74</v>
      </c>
      <c r="G82" s="136">
        <v>0.0</v>
      </c>
      <c r="H82" s="136">
        <v>0.0</v>
      </c>
      <c r="I82" s="136">
        <v>1250.0</v>
      </c>
      <c r="J82" s="136">
        <v>0.0</v>
      </c>
      <c r="K82" s="136">
        <v>0.0</v>
      </c>
      <c r="L82" s="136">
        <v>0.0</v>
      </c>
      <c r="M82" s="136">
        <v>0.0</v>
      </c>
      <c r="N82" s="136">
        <v>0.0</v>
      </c>
      <c r="O82" s="136">
        <v>0.0</v>
      </c>
      <c r="P82" s="136">
        <v>0.0</v>
      </c>
      <c r="Q82" s="136">
        <v>0.0</v>
      </c>
      <c r="R82" s="136">
        <v>0.0</v>
      </c>
      <c r="S82" s="137">
        <v>45221.0</v>
      </c>
      <c r="T82" s="137">
        <v>45951.0</v>
      </c>
    </row>
    <row r="83" ht="18.0" customHeight="1">
      <c r="A83" s="134" t="s">
        <v>109</v>
      </c>
      <c r="B83" s="134" t="s">
        <v>38</v>
      </c>
      <c r="C83" s="134" t="s">
        <v>47</v>
      </c>
      <c r="D83" s="135">
        <v>1400.0</v>
      </c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7"/>
      <c r="T83" s="137"/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87.54</v>
      </c>
      <c r="G84" s="136">
        <v>0.0</v>
      </c>
      <c r="H84" s="136">
        <v>0.0</v>
      </c>
      <c r="I84" s="136">
        <v>61.0</v>
      </c>
      <c r="J84" s="136">
        <v>0.0</v>
      </c>
      <c r="K84" s="136">
        <v>0.0</v>
      </c>
      <c r="L84" s="136">
        <v>839.0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/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47</v>
      </c>
      <c r="D86" s="135">
        <v>1400.0</v>
      </c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7"/>
      <c r="T86" s="137"/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975.0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1855.0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-1100.0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47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39</v>
      </c>
      <c r="D93" s="135">
        <v>1400.0</v>
      </c>
      <c r="E93" s="136">
        <v>1150.0</v>
      </c>
      <c r="F93" s="136">
        <v>66.75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960.0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20.0</v>
      </c>
      <c r="G95" s="136">
        <v>0.0</v>
      </c>
      <c r="H95" s="136">
        <v>0.0</v>
      </c>
      <c r="I95" s="136">
        <v>280.0</v>
      </c>
      <c r="J95" s="136">
        <v>0.0</v>
      </c>
      <c r="K95" s="136">
        <v>0.0</v>
      </c>
      <c r="L95" s="136">
        <v>620.0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/>
    </row>
    <row r="96" ht="18.0" customHeight="1">
      <c r="A96" s="134" t="s">
        <v>123</v>
      </c>
      <c r="B96" s="134" t="s">
        <v>115</v>
      </c>
      <c r="C96" s="134" t="s">
        <v>47</v>
      </c>
      <c r="D96" s="135">
        <v>1400.0</v>
      </c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7"/>
      <c r="T96" s="137"/>
    </row>
    <row r="97" ht="18.0" customHeight="1">
      <c r="A97" s="134" t="s">
        <v>124</v>
      </c>
      <c r="B97" s="134" t="s">
        <v>115</v>
      </c>
      <c r="C97" s="134" t="s">
        <v>39</v>
      </c>
      <c r="D97" s="135">
        <v>1400.0</v>
      </c>
      <c r="E97" s="136">
        <v>1300.0</v>
      </c>
      <c r="F97" s="136">
        <v>2515.0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-25.0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0.0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/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39</v>
      </c>
      <c r="D105" s="135">
        <v>1400.0</v>
      </c>
      <c r="E105" s="136">
        <v>1000.0</v>
      </c>
      <c r="F105" s="136">
        <v>1570.0</v>
      </c>
      <c r="G105" s="136">
        <v>0.0</v>
      </c>
      <c r="H105" s="136">
        <v>0.0</v>
      </c>
      <c r="I105" s="136">
        <v>1000.0</v>
      </c>
      <c r="J105" s="136">
        <v>0.0</v>
      </c>
      <c r="K105" s="136">
        <v>0.0</v>
      </c>
      <c r="L105" s="136">
        <v>0.0</v>
      </c>
      <c r="M105" s="136">
        <v>0.0</v>
      </c>
      <c r="N105" s="136">
        <v>0.0</v>
      </c>
      <c r="O105" s="136">
        <v>0.0</v>
      </c>
      <c r="P105" s="136">
        <v>0.0</v>
      </c>
      <c r="Q105" s="136">
        <v>0.0</v>
      </c>
      <c r="R105" s="136">
        <v>0.0</v>
      </c>
      <c r="S105" s="137">
        <v>45138.0</v>
      </c>
      <c r="T105" s="137">
        <v>46112.0</v>
      </c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0.0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47</v>
      </c>
      <c r="D108" s="135">
        <v>1400.0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7"/>
      <c r="T108" s="137"/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39</v>
      </c>
      <c r="D111" s="135">
        <v>1400.0</v>
      </c>
      <c r="E111" s="136">
        <v>1000.0</v>
      </c>
      <c r="F111" s="136">
        <v>0.0</v>
      </c>
      <c r="G111" s="136">
        <v>0.0</v>
      </c>
      <c r="H111" s="136">
        <v>0.0</v>
      </c>
      <c r="I111" s="136">
        <v>1000.0</v>
      </c>
      <c r="J111" s="136">
        <v>0.0</v>
      </c>
      <c r="K111" s="136">
        <v>0.0</v>
      </c>
      <c r="L111" s="136">
        <v>0.0</v>
      </c>
      <c r="M111" s="136">
        <v>0.0</v>
      </c>
      <c r="N111" s="136">
        <v>0.0</v>
      </c>
      <c r="O111" s="136">
        <v>0.0</v>
      </c>
      <c r="P111" s="136">
        <v>0.0</v>
      </c>
      <c r="Q111" s="136">
        <v>0.0</v>
      </c>
      <c r="R111" s="136">
        <v>0.0</v>
      </c>
      <c r="S111" s="137">
        <v>44998.0</v>
      </c>
      <c r="T111" s="137">
        <v>46099.0</v>
      </c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47</v>
      </c>
      <c r="D113" s="135">
        <v>1400.0</v>
      </c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7"/>
      <c r="T113" s="137"/>
    </row>
    <row r="114" ht="18.0" customHeight="1">
      <c r="A114" s="134" t="s">
        <v>141</v>
      </c>
      <c r="B114" s="134" t="s">
        <v>38</v>
      </c>
      <c r="C114" s="134" t="s">
        <v>39</v>
      </c>
      <c r="D114" s="135">
        <v>1400.0</v>
      </c>
      <c r="E114" s="136">
        <v>900.0</v>
      </c>
      <c r="F114" s="136">
        <v>2700.0</v>
      </c>
      <c r="G114" s="136">
        <v>0.0</v>
      </c>
      <c r="H114" s="136">
        <v>0.0</v>
      </c>
      <c r="I114" s="136">
        <v>0.0</v>
      </c>
      <c r="J114" s="136">
        <v>0.0</v>
      </c>
      <c r="K114" s="136">
        <v>0.0</v>
      </c>
      <c r="L114" s="136">
        <v>900.0</v>
      </c>
      <c r="M114" s="136">
        <v>0.0</v>
      </c>
      <c r="N114" s="136">
        <v>0.0</v>
      </c>
      <c r="O114" s="136">
        <v>0.0</v>
      </c>
      <c r="P114" s="136">
        <v>0.0</v>
      </c>
      <c r="Q114" s="136">
        <v>0.0</v>
      </c>
      <c r="R114" s="136">
        <v>0.0</v>
      </c>
      <c r="S114" s="137">
        <v>45231.0</v>
      </c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1122.0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44866.0</v>
      </c>
      <c r="T115" s="137"/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-8.0</v>
      </c>
      <c r="G116" s="136">
        <v>0.0</v>
      </c>
      <c r="H116" s="136">
        <v>0.0</v>
      </c>
      <c r="I116" s="136">
        <v>89.0</v>
      </c>
      <c r="J116" s="136">
        <v>0.0</v>
      </c>
      <c r="K116" s="136">
        <v>0.0</v>
      </c>
      <c r="L116" s="136">
        <v>886.0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45047.0</v>
      </c>
      <c r="T116" s="137"/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1531.85</v>
      </c>
      <c r="G118" s="136">
        <v>0.0</v>
      </c>
      <c r="H118" s="136">
        <v>0.0</v>
      </c>
      <c r="I118" s="136">
        <v>559.0</v>
      </c>
      <c r="J118" s="136">
        <v>0.0</v>
      </c>
      <c r="K118" s="136">
        <v>0.0</v>
      </c>
      <c r="L118" s="136">
        <v>791.0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-5.0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0.0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/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1350.0</v>
      </c>
      <c r="F125" s="136">
        <v>-84.0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771.0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0.0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39</v>
      </c>
      <c r="D128" s="135">
        <v>1400.0</v>
      </c>
      <c r="E128" s="136">
        <v>1000.0</v>
      </c>
      <c r="F128" s="136">
        <v>1080.0</v>
      </c>
      <c r="G128" s="136">
        <v>0.0</v>
      </c>
      <c r="H128" s="136">
        <v>0.0</v>
      </c>
      <c r="I128" s="136">
        <v>1000.0</v>
      </c>
      <c r="J128" s="136">
        <v>0.0</v>
      </c>
      <c r="K128" s="136">
        <v>0.0</v>
      </c>
      <c r="L128" s="136">
        <v>0.0</v>
      </c>
      <c r="M128" s="136">
        <v>0.0</v>
      </c>
      <c r="N128" s="136">
        <v>0.0</v>
      </c>
      <c r="O128" s="136">
        <v>0.0</v>
      </c>
      <c r="P128" s="136">
        <v>0.0</v>
      </c>
      <c r="Q128" s="136">
        <v>0.0</v>
      </c>
      <c r="R128" s="136">
        <v>0.0</v>
      </c>
      <c r="S128" s="137">
        <v>44927.0</v>
      </c>
      <c r="T128" s="137"/>
    </row>
    <row r="129" ht="18.0" customHeight="1">
      <c r="A129" s="138" t="s">
        <v>156</v>
      </c>
      <c r="B129" s="138"/>
      <c r="C129" s="138" t="s">
        <v>279</v>
      </c>
      <c r="D129" s="139">
        <v>71400.0</v>
      </c>
      <c r="E129" s="140">
        <v>43385.0</v>
      </c>
      <c r="F129" s="140">
        <v>14033.88</v>
      </c>
      <c r="G129" s="140">
        <v>0.0</v>
      </c>
      <c r="H129" s="140">
        <v>0.0</v>
      </c>
      <c r="I129" s="140">
        <v>35753.0</v>
      </c>
      <c r="J129" s="140">
        <v>0.0</v>
      </c>
      <c r="K129" s="140">
        <v>0.0</v>
      </c>
      <c r="L129" s="140">
        <v>7632.0</v>
      </c>
      <c r="M129" s="140">
        <v>0.0</v>
      </c>
      <c r="N129" s="140">
        <v>0.0</v>
      </c>
      <c r="O129" s="140">
        <v>0.0</v>
      </c>
      <c r="P129" s="140">
        <v>0.0</v>
      </c>
      <c r="Q129" s="140">
        <v>0.0</v>
      </c>
      <c r="R129" s="140">
        <v>0.0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0.0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0.0</v>
      </c>
      <c r="G132" s="136">
        <v>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900.0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347.1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0.0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-50.0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0.0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47</v>
      </c>
      <c r="D138" s="135">
        <v>800.0</v>
      </c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7"/>
      <c r="T138" s="137"/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50.0</v>
      </c>
      <c r="F139" s="136">
        <v>142.5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/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0.0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1175.0</v>
      </c>
      <c r="F141" s="136">
        <v>0.0</v>
      </c>
      <c r="G141" s="136">
        <v>0.0</v>
      </c>
      <c r="H141" s="136">
        <v>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/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-40.0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1230.0</v>
      </c>
      <c r="F143" s="136">
        <v>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1150.0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/>
    </row>
    <row r="144" ht="18.0" customHeight="1">
      <c r="A144" s="134" t="s">
        <v>173</v>
      </c>
      <c r="B144" s="134" t="s">
        <v>168</v>
      </c>
      <c r="C144" s="134" t="s">
        <v>47</v>
      </c>
      <c r="D144" s="135">
        <v>1000.0</v>
      </c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7"/>
      <c r="T144" s="137"/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-9.04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46022.0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397.5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178</v>
      </c>
      <c r="D148" s="135">
        <v>850.0</v>
      </c>
      <c r="E148" s="136">
        <v>1085.0</v>
      </c>
      <c r="F148" s="136">
        <v>3636.25</v>
      </c>
      <c r="G148" s="136">
        <v>0.0</v>
      </c>
      <c r="H148" s="136">
        <v>60.0</v>
      </c>
      <c r="I148" s="136">
        <v>1025.0</v>
      </c>
      <c r="J148" s="136">
        <v>0.0</v>
      </c>
      <c r="K148" s="136">
        <v>0.0</v>
      </c>
      <c r="L148" s="136">
        <v>0.0</v>
      </c>
      <c r="M148" s="136">
        <v>0.0</v>
      </c>
      <c r="N148" s="136">
        <v>0.0</v>
      </c>
      <c r="O148" s="136">
        <v>0.0</v>
      </c>
      <c r="P148" s="136">
        <v>0.0</v>
      </c>
      <c r="Q148" s="136">
        <v>0.0</v>
      </c>
      <c r="R148" s="136">
        <v>0.0</v>
      </c>
      <c r="S148" s="137">
        <v>45477.0</v>
      </c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0.0</v>
      </c>
      <c r="F149" s="136">
        <v>2315.0</v>
      </c>
      <c r="G149" s="136">
        <v>0.0</v>
      </c>
      <c r="H149" s="136">
        <v>0.0</v>
      </c>
      <c r="I149" s="136">
        <v>0.0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0.0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0.0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900.0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/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800.0</v>
      </c>
      <c r="F153" s="136">
        <v>-521.0</v>
      </c>
      <c r="G153" s="136">
        <v>0.0</v>
      </c>
      <c r="H153" s="136">
        <v>0.0</v>
      </c>
      <c r="I153" s="136">
        <v>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/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886.0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273.0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/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0.0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/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0.0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47</v>
      </c>
      <c r="D159" s="135">
        <v>850.0</v>
      </c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7"/>
      <c r="T159" s="137"/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86.0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/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985.5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/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357.0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296.08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0.0</v>
      </c>
      <c r="L163" s="136">
        <v>646.0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0.0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0.0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39</v>
      </c>
      <c r="D166" s="135">
        <v>850.0</v>
      </c>
      <c r="E166" s="136">
        <v>1000.0</v>
      </c>
      <c r="F166" s="136">
        <v>660.0</v>
      </c>
      <c r="G166" s="136">
        <v>0.0</v>
      </c>
      <c r="H166" s="136">
        <v>0.0</v>
      </c>
      <c r="I166" s="136">
        <v>1000.0</v>
      </c>
      <c r="J166" s="136">
        <v>0.0</v>
      </c>
      <c r="K166" s="136">
        <v>0.0</v>
      </c>
      <c r="L166" s="136">
        <v>0.0</v>
      </c>
      <c r="M166" s="136">
        <v>0.0</v>
      </c>
      <c r="N166" s="136">
        <v>0.0</v>
      </c>
      <c r="O166" s="136">
        <v>0.0</v>
      </c>
      <c r="P166" s="136">
        <v>0.0</v>
      </c>
      <c r="Q166" s="136">
        <v>0.0</v>
      </c>
      <c r="R166" s="136">
        <v>0.0</v>
      </c>
      <c r="S166" s="137">
        <v>45786.0</v>
      </c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46022.0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843.0</v>
      </c>
      <c r="F168" s="136">
        <v>527.3</v>
      </c>
      <c r="G168" s="136">
        <v>0.0</v>
      </c>
      <c r="H168" s="136">
        <v>0.0</v>
      </c>
      <c r="I168" s="136">
        <v>406.0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437.0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46023.0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900.0</v>
      </c>
      <c r="F169" s="136">
        <v>492.0</v>
      </c>
      <c r="G169" s="136">
        <v>0.0</v>
      </c>
      <c r="H169" s="136">
        <v>0.0</v>
      </c>
      <c r="I169" s="136">
        <v>900.0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/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280</v>
      </c>
      <c r="D171" s="139">
        <v>34800.0</v>
      </c>
      <c r="E171" s="140">
        <v>30884.5</v>
      </c>
      <c r="F171" s="140">
        <v>11681.19</v>
      </c>
      <c r="G171" s="140">
        <v>0.0</v>
      </c>
      <c r="H171" s="140">
        <v>190.0</v>
      </c>
      <c r="I171" s="140">
        <v>15115.0</v>
      </c>
      <c r="J171" s="140">
        <v>0.0</v>
      </c>
      <c r="K171" s="140">
        <v>2845.0</v>
      </c>
      <c r="L171" s="140">
        <v>1546.0</v>
      </c>
      <c r="M171" s="140">
        <v>1958.0</v>
      </c>
      <c r="N171" s="140">
        <v>9120.0</v>
      </c>
      <c r="O171" s="140">
        <v>100.0</v>
      </c>
      <c r="P171" s="140">
        <v>0.0</v>
      </c>
      <c r="Q171" s="140">
        <v>0.0</v>
      </c>
      <c r="R171" s="140">
        <v>10.5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775.0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1212.5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0.0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0.0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940.35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-700.0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470.0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850.0</v>
      </c>
      <c r="F190" s="136">
        <v>-203.48</v>
      </c>
      <c r="G190" s="136">
        <v>0.0</v>
      </c>
      <c r="H190" s="136">
        <v>0.0</v>
      </c>
      <c r="I190" s="136">
        <v>850.0</v>
      </c>
      <c r="J190" s="136">
        <v>0.0</v>
      </c>
      <c r="K190" s="136">
        <v>0.0</v>
      </c>
      <c r="L190" s="136">
        <v>0.0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47</v>
      </c>
      <c r="D192" s="135">
        <v>825.0</v>
      </c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7"/>
      <c r="T192" s="137"/>
    </row>
    <row r="193" ht="18.0" customHeight="1">
      <c r="A193" s="134" t="s">
        <v>224</v>
      </c>
      <c r="B193" s="134" t="s">
        <v>56</v>
      </c>
      <c r="C193" s="134" t="s">
        <v>47</v>
      </c>
      <c r="D193" s="135">
        <v>750.0</v>
      </c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7"/>
      <c r="T193" s="137"/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750.0</v>
      </c>
      <c r="F194" s="136">
        <v>-775.0</v>
      </c>
      <c r="G194" s="136">
        <v>0.0</v>
      </c>
      <c r="H194" s="136">
        <v>0.0</v>
      </c>
      <c r="I194" s="136">
        <v>750.0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/>
    </row>
    <row r="195" ht="18.0" customHeight="1">
      <c r="A195" s="138" t="s">
        <v>226</v>
      </c>
      <c r="B195" s="138"/>
      <c r="C195" s="138" t="s">
        <v>227</v>
      </c>
      <c r="D195" s="139">
        <v>17550.0</v>
      </c>
      <c r="E195" s="140">
        <v>16235.0</v>
      </c>
      <c r="F195" s="140">
        <v>1719.37</v>
      </c>
      <c r="G195" s="140">
        <v>0.0</v>
      </c>
      <c r="H195" s="140">
        <v>0.0</v>
      </c>
      <c r="I195" s="140">
        <v>16235.0</v>
      </c>
      <c r="J195" s="140">
        <v>0.0</v>
      </c>
      <c r="K195" s="140">
        <v>0.0</v>
      </c>
      <c r="L195" s="140">
        <v>0.0</v>
      </c>
      <c r="M195" s="140">
        <v>0.0</v>
      </c>
      <c r="N195" s="140">
        <v>0.0</v>
      </c>
      <c r="O195" s="140">
        <v>0.0</v>
      </c>
      <c r="P195" s="140">
        <v>0.0</v>
      </c>
      <c r="Q195" s="140">
        <v>0.0</v>
      </c>
      <c r="R195" s="140">
        <v>0.0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312.5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31.0</v>
      </c>
      <c r="G199" s="136">
        <v>0.0</v>
      </c>
      <c r="H199" s="136">
        <v>225.0</v>
      </c>
      <c r="I199" s="136">
        <v>91.0</v>
      </c>
      <c r="J199" s="136">
        <v>0.0</v>
      </c>
      <c r="K199" s="136">
        <v>0.0</v>
      </c>
      <c r="L199" s="136">
        <v>934.0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1125.0</v>
      </c>
      <c r="F200" s="136">
        <v>348.63</v>
      </c>
      <c r="G200" s="136">
        <v>0.0</v>
      </c>
      <c r="H200" s="136">
        <v>225.0</v>
      </c>
      <c r="I200" s="136">
        <v>900.0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-1158.0</v>
      </c>
      <c r="G202" s="136">
        <v>0.0</v>
      </c>
      <c r="H202" s="136">
        <v>225.0</v>
      </c>
      <c r="I202" s="136">
        <v>135.0</v>
      </c>
      <c r="J202" s="136">
        <v>0.0</v>
      </c>
      <c r="K202" s="136">
        <v>0.0</v>
      </c>
      <c r="L202" s="136">
        <v>890.0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946.95</v>
      </c>
      <c r="G206" s="136">
        <v>0.0</v>
      </c>
      <c r="H206" s="136">
        <v>225.0</v>
      </c>
      <c r="I206" s="136">
        <v>327.0</v>
      </c>
      <c r="J206" s="136">
        <v>0.0</v>
      </c>
      <c r="K206" s="136">
        <v>0.0</v>
      </c>
      <c r="L206" s="136">
        <v>698.0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1220.0</v>
      </c>
      <c r="F207" s="136">
        <v>-18.26</v>
      </c>
      <c r="G207" s="136">
        <v>0.0</v>
      </c>
      <c r="H207" s="136">
        <v>225.0</v>
      </c>
      <c r="I207" s="136">
        <v>995.0</v>
      </c>
      <c r="J207" s="136">
        <v>0.0</v>
      </c>
      <c r="K207" s="136">
        <v>0.0</v>
      </c>
      <c r="L207" s="136">
        <v>0.0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-46.25</v>
      </c>
      <c r="G208" s="136">
        <v>0.0</v>
      </c>
      <c r="H208" s="136">
        <v>225.0</v>
      </c>
      <c r="I208" s="136">
        <v>120.0</v>
      </c>
      <c r="J208" s="136">
        <v>0.0</v>
      </c>
      <c r="K208" s="136">
        <v>0.0</v>
      </c>
      <c r="L208" s="136">
        <v>905.0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1250.0</v>
      </c>
      <c r="F211" s="136">
        <v>-1.0</v>
      </c>
      <c r="G211" s="136">
        <v>0.0</v>
      </c>
      <c r="H211" s="136">
        <v>225.0</v>
      </c>
      <c r="I211" s="136">
        <v>1025.0</v>
      </c>
      <c r="J211" s="136">
        <v>0.0</v>
      </c>
      <c r="K211" s="136">
        <v>0.0</v>
      </c>
      <c r="L211" s="136">
        <v>0.0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-289.0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1526.25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46006.0</v>
      </c>
    </row>
    <row r="217" ht="18.0" customHeight="1">
      <c r="A217" s="134" t="s">
        <v>84</v>
      </c>
      <c r="B217" s="134" t="s">
        <v>38</v>
      </c>
      <c r="C217" s="134" t="s">
        <v>39</v>
      </c>
      <c r="D217" s="135">
        <v>825.0</v>
      </c>
      <c r="E217" s="136">
        <v>1250.0</v>
      </c>
      <c r="F217" s="136">
        <v>4496.0</v>
      </c>
      <c r="G217" s="136">
        <v>0.0</v>
      </c>
      <c r="H217" s="136">
        <v>225.0</v>
      </c>
      <c r="I217" s="136">
        <v>1025.0</v>
      </c>
      <c r="J217" s="136">
        <v>0.0</v>
      </c>
      <c r="K217" s="136">
        <v>0.0</v>
      </c>
      <c r="L217" s="136">
        <v>0.0</v>
      </c>
      <c r="M217" s="136">
        <v>0.0</v>
      </c>
      <c r="N217" s="136">
        <v>0.0</v>
      </c>
      <c r="O217" s="136">
        <v>0.0</v>
      </c>
      <c r="P217" s="136">
        <v>0.0</v>
      </c>
      <c r="Q217" s="136">
        <v>0.0</v>
      </c>
      <c r="R217" s="136">
        <v>0.0</v>
      </c>
      <c r="S217" s="137">
        <v>45483.0</v>
      </c>
      <c r="T217" s="137">
        <v>46031.0</v>
      </c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1.0</v>
      </c>
      <c r="G222" s="136">
        <v>0.0</v>
      </c>
      <c r="H222" s="136">
        <v>225.0</v>
      </c>
      <c r="I222" s="136">
        <v>659.0</v>
      </c>
      <c r="J222" s="136">
        <v>0.0</v>
      </c>
      <c r="K222" s="136">
        <v>0.0</v>
      </c>
      <c r="L222" s="136">
        <v>416.0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46081.0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1250.0</v>
      </c>
      <c r="F225" s="136">
        <v>0.0</v>
      </c>
      <c r="G225" s="136">
        <v>0.0</v>
      </c>
      <c r="H225" s="136">
        <v>225.0</v>
      </c>
      <c r="I225" s="136">
        <v>1025.0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/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1125.0</v>
      </c>
      <c r="F226" s="136">
        <v>0.0</v>
      </c>
      <c r="G226" s="136">
        <v>0.0</v>
      </c>
      <c r="H226" s="136">
        <v>225.0</v>
      </c>
      <c r="I226" s="136">
        <v>900.0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46022.0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0.0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/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-10.0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46091.0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399.75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45.2</v>
      </c>
      <c r="G233" s="136">
        <v>0.0</v>
      </c>
      <c r="H233" s="136">
        <v>225.0</v>
      </c>
      <c r="I233" s="136">
        <v>424.0</v>
      </c>
      <c r="J233" s="136">
        <v>0.0</v>
      </c>
      <c r="K233" s="136">
        <v>0.0</v>
      </c>
      <c r="L233" s="136">
        <v>601.0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1518.7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39</v>
      </c>
      <c r="D236" s="135">
        <v>825.0</v>
      </c>
      <c r="E236" s="136">
        <v>1200.0</v>
      </c>
      <c r="F236" s="136">
        <v>0.0</v>
      </c>
      <c r="G236" s="136">
        <v>0.0</v>
      </c>
      <c r="H236" s="136">
        <v>225.0</v>
      </c>
      <c r="I236" s="136">
        <v>975.0</v>
      </c>
      <c r="J236" s="136">
        <v>0.0</v>
      </c>
      <c r="K236" s="136">
        <v>0.0</v>
      </c>
      <c r="L236" s="136">
        <v>0.0</v>
      </c>
      <c r="M236" s="136">
        <v>0.0</v>
      </c>
      <c r="N236" s="136">
        <v>0.0</v>
      </c>
      <c r="O236" s="136">
        <v>0.0</v>
      </c>
      <c r="P236" s="136">
        <v>0.0</v>
      </c>
      <c r="Q236" s="136">
        <v>0.0</v>
      </c>
      <c r="R236" s="136">
        <v>0.0</v>
      </c>
      <c r="S236" s="137">
        <v>45823.0</v>
      </c>
      <c r="T236" s="137">
        <v>46187.0</v>
      </c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-85.0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39</v>
      </c>
      <c r="D238" s="135">
        <v>825.0</v>
      </c>
      <c r="E238" s="136">
        <v>1250.0</v>
      </c>
      <c r="F238" s="136">
        <v>604.4</v>
      </c>
      <c r="G238" s="136">
        <v>0.0</v>
      </c>
      <c r="H238" s="136">
        <v>225.0</v>
      </c>
      <c r="I238" s="136">
        <v>1025.0</v>
      </c>
      <c r="J238" s="136">
        <v>0.0</v>
      </c>
      <c r="K238" s="136">
        <v>0.0</v>
      </c>
      <c r="L238" s="136">
        <v>0.0</v>
      </c>
      <c r="M238" s="136">
        <v>0.0</v>
      </c>
      <c r="N238" s="136">
        <v>0.0</v>
      </c>
      <c r="O238" s="136">
        <v>0.0</v>
      </c>
      <c r="P238" s="136">
        <v>0.0</v>
      </c>
      <c r="Q238" s="136">
        <v>0.0</v>
      </c>
      <c r="R238" s="136">
        <v>0.0</v>
      </c>
      <c r="S238" s="137">
        <v>45139.0</v>
      </c>
      <c r="T238" s="137">
        <v>45987.0</v>
      </c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-2186.0</v>
      </c>
      <c r="G239" s="136">
        <v>0.0</v>
      </c>
      <c r="H239" s="136">
        <v>125.0</v>
      </c>
      <c r="I239" s="136">
        <v>150.0</v>
      </c>
      <c r="J239" s="136">
        <v>0.0</v>
      </c>
      <c r="K239" s="136">
        <v>0.0</v>
      </c>
      <c r="L239" s="136">
        <v>723.0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1125.0</v>
      </c>
      <c r="F240" s="136">
        <v>842.0</v>
      </c>
      <c r="G240" s="136">
        <v>0.0</v>
      </c>
      <c r="H240" s="136">
        <v>225.0</v>
      </c>
      <c r="I240" s="136">
        <v>4.0</v>
      </c>
      <c r="J240" s="136">
        <v>0.0</v>
      </c>
      <c r="K240" s="136">
        <v>0.0</v>
      </c>
      <c r="L240" s="136">
        <v>896.0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/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0.0</v>
      </c>
      <c r="G241" s="136">
        <v>0.0</v>
      </c>
      <c r="H241" s="136">
        <v>225.0</v>
      </c>
      <c r="I241" s="136">
        <v>108.0</v>
      </c>
      <c r="J241" s="136">
        <v>0.0</v>
      </c>
      <c r="K241" s="136">
        <v>0.0</v>
      </c>
      <c r="L241" s="136">
        <v>917.0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-1.7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39</v>
      </c>
      <c r="D245" s="135">
        <v>825.0</v>
      </c>
      <c r="E245" s="136">
        <v>1250.0</v>
      </c>
      <c r="F245" s="136">
        <v>1331.25</v>
      </c>
      <c r="G245" s="136">
        <v>0.0</v>
      </c>
      <c r="H245" s="136">
        <v>225.0</v>
      </c>
      <c r="I245" s="136">
        <v>1025.0</v>
      </c>
      <c r="J245" s="136">
        <v>0.0</v>
      </c>
      <c r="K245" s="136">
        <v>0.0</v>
      </c>
      <c r="L245" s="136">
        <v>0.0</v>
      </c>
      <c r="M245" s="136">
        <v>0.0</v>
      </c>
      <c r="N245" s="136">
        <v>0.0</v>
      </c>
      <c r="O245" s="136">
        <v>0.0</v>
      </c>
      <c r="P245" s="136">
        <v>0.0</v>
      </c>
      <c r="Q245" s="136">
        <v>0.0</v>
      </c>
      <c r="R245" s="136">
        <v>0.0</v>
      </c>
      <c r="S245" s="137">
        <v>45962.0</v>
      </c>
      <c r="T245" s="137">
        <v>46326.0</v>
      </c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/>
    </row>
    <row r="247" ht="18.0" customHeight="1">
      <c r="A247" s="138" t="s">
        <v>244</v>
      </c>
      <c r="B247" s="138"/>
      <c r="C247" s="138" t="s">
        <v>281</v>
      </c>
      <c r="D247" s="139">
        <v>40350.0</v>
      </c>
      <c r="E247" s="140">
        <v>54509.3</v>
      </c>
      <c r="F247" s="140">
        <v>8453.42</v>
      </c>
      <c r="G247" s="140">
        <v>0.0</v>
      </c>
      <c r="H247" s="140">
        <v>9320.8</v>
      </c>
      <c r="I247" s="140">
        <v>37043.5</v>
      </c>
      <c r="J247" s="140">
        <v>0.0</v>
      </c>
      <c r="K247" s="140">
        <v>0.0</v>
      </c>
      <c r="L247" s="140">
        <v>8055.0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246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215.0</v>
      </c>
      <c r="F249" s="136">
        <v>101.67</v>
      </c>
      <c r="G249" s="136">
        <v>0.0</v>
      </c>
      <c r="H249" s="136">
        <v>0.0</v>
      </c>
      <c r="I249" s="136">
        <v>215.0</v>
      </c>
      <c r="J249" s="136">
        <v>0.0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0.0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46081.0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0.0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0.0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46112.0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61.05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0.0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0.0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0.0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46112.0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-57.41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0.0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0.0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141.68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0.0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46072.0</v>
      </c>
    </row>
    <row r="262" ht="18.0" customHeight="1">
      <c r="A262" s="134" t="s">
        <v>76</v>
      </c>
      <c r="B262" s="134" t="s">
        <v>56</v>
      </c>
      <c r="C262" s="134" t="s">
        <v>39</v>
      </c>
      <c r="D262" s="135">
        <v>675.0</v>
      </c>
      <c r="E262" s="136">
        <v>775.0</v>
      </c>
      <c r="F262" s="136">
        <v>-65.08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650.0</v>
      </c>
      <c r="F263" s="136">
        <v>62.5</v>
      </c>
      <c r="G263" s="136">
        <v>0.0</v>
      </c>
      <c r="H263" s="136">
        <v>0.0</v>
      </c>
      <c r="I263" s="136">
        <v>650.0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/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-13.77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46082.0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-36.83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259.64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0.0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46038.0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323.0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45930.0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575.0</v>
      </c>
      <c r="F269" s="136">
        <v>0.0</v>
      </c>
      <c r="G269" s="136">
        <v>0.0</v>
      </c>
      <c r="H269" s="136">
        <v>0.0</v>
      </c>
      <c r="I269" s="136">
        <v>575.0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/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0.0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-5.43</v>
      </c>
      <c r="G271" s="136">
        <v>0.0</v>
      </c>
      <c r="H271" s="136">
        <v>0.0</v>
      </c>
      <c r="I271" s="136">
        <v>56.0</v>
      </c>
      <c r="J271" s="136">
        <v>694.0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46029.0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0.0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45961.0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-582.0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103.01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0.0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750.0</v>
      </c>
      <c r="F276" s="136">
        <v>0.0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0.0</v>
      </c>
      <c r="S276" s="137">
        <v>44742.0</v>
      </c>
      <c r="T276" s="137">
        <v>46203.0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168.0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804.57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45929.0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21565.0</v>
      </c>
      <c r="F279" s="140">
        <v>1264.6</v>
      </c>
      <c r="G279" s="140">
        <v>0.0</v>
      </c>
      <c r="H279" s="140">
        <v>0.0</v>
      </c>
      <c r="I279" s="140">
        <v>18769.0</v>
      </c>
      <c r="J279" s="140">
        <v>2746.0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0.0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282</v>
      </c>
      <c r="D281" s="139">
        <v>229909.0</v>
      </c>
      <c r="E281" s="140">
        <v>209338.8</v>
      </c>
      <c r="F281" s="140">
        <v>46773.69</v>
      </c>
      <c r="G281" s="140">
        <v>0.0</v>
      </c>
      <c r="H281" s="140">
        <v>9510.8</v>
      </c>
      <c r="I281" s="140">
        <v>164632.5</v>
      </c>
      <c r="J281" s="140">
        <v>3674.0</v>
      </c>
      <c r="K281" s="140">
        <v>2845.0</v>
      </c>
      <c r="L281" s="140">
        <v>17233.0</v>
      </c>
      <c r="M281" s="140">
        <v>1958.0</v>
      </c>
      <c r="N281" s="140">
        <v>9120.0</v>
      </c>
      <c r="O281" s="140">
        <v>300.0</v>
      </c>
      <c r="P281" s="140">
        <v>25.0</v>
      </c>
      <c r="Q281" s="140">
        <v>15.0</v>
      </c>
      <c r="R281" s="140">
        <v>25.5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0.9294823529</v>
      </c>
      <c r="D282" s="145">
        <f t="shared" ref="D282:D284" si="2">IFERROR(
  SUMPRODUCT((A$285:A$295=A282)*D$285:D$295*I$285:I$295) /
  SUMPRODUCT((A$285:A$295=A282)*I$285:I$295),
0)</f>
        <v>0.8814797681</v>
      </c>
      <c r="E282" s="146">
        <f t="shared" ref="E282:E284" si="3">IFERROR(
  SUMPRODUCT((A$285:A$295=A282)*E$285:E$295),
0)
</f>
        <v>7640.76</v>
      </c>
      <c r="F282" s="147">
        <f t="shared" ref="F282:F284" si="4">IFERROR(
  SUMPRODUCT((A$285:A$295=A282)*F$285:F$295),
0)
</f>
        <v>10885.83</v>
      </c>
      <c r="G282" s="148">
        <f t="shared" ref="G282:G284" si="5">IFERROR(
  SUMPRODUCT((A$285:A$295=A282)*G$285:G$295),
0)
</f>
        <v>0</v>
      </c>
      <c r="H282" s="149">
        <f t="shared" ref="H282:H284" si="6">IFERROR(
  SUMPRODUCT((A$285:A$295=A282)*H$285:H$295*I$285:I$295) /
  SUMPRODUCT((A$285:A$295=A282)*I$285:I$295),
0)</f>
        <v>0.5764705882</v>
      </c>
    </row>
    <row r="283" ht="18.0" customHeight="1">
      <c r="A283" s="152" t="s">
        <v>251</v>
      </c>
      <c r="B283" s="153"/>
      <c r="C283" s="154">
        <f t="shared" si="1"/>
        <v>0.745</v>
      </c>
      <c r="D283" s="155">
        <f t="shared" si="2"/>
        <v>0.7255280075</v>
      </c>
      <c r="E283" s="156">
        <f t="shared" si="3"/>
        <v>9535.03</v>
      </c>
      <c r="F283" s="157">
        <f t="shared" si="4"/>
        <v>14033.88</v>
      </c>
      <c r="G283" s="158">
        <f t="shared" si="5"/>
        <v>0</v>
      </c>
      <c r="H283" s="149">
        <f t="shared" si="6"/>
        <v>0.6052631579</v>
      </c>
    </row>
    <row r="284" ht="18.0" customHeight="1">
      <c r="A284" s="160" t="s">
        <v>252</v>
      </c>
      <c r="B284" s="161"/>
      <c r="C284" s="162">
        <f t="shared" si="1"/>
        <v>0.9106964286</v>
      </c>
      <c r="D284" s="163">
        <f t="shared" si="2"/>
        <v>0.8685146372</v>
      </c>
      <c r="E284" s="164">
        <f t="shared" si="3"/>
        <v>12259.68</v>
      </c>
      <c r="F284" s="165">
        <f t="shared" si="4"/>
        <v>21853.98</v>
      </c>
      <c r="G284" s="166">
        <f t="shared" si="5"/>
        <v>1</v>
      </c>
      <c r="H284" s="149">
        <f t="shared" si="6"/>
        <v>0.4698240166</v>
      </c>
    </row>
    <row r="285" ht="18.0" customHeight="1">
      <c r="A285" s="169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"),1.0)</f>
        <v>1</v>
      </c>
      <c r="D285" s="172">
        <f t="array" ref="D285">SUM(MAP(E11:E14, F11:F14, LAMBDA(e,f, MAX(0, e-f)))) / SUM(E11:E14)
</f>
        <v>1.002038217</v>
      </c>
      <c r="E285" s="173">
        <f t="array" ref="E285">SUM(MAP(E$11:E$14, F$11:F$14, LAMBDA(e,f, MIN(e, f))))
</f>
        <v>-8</v>
      </c>
      <c r="F285" s="174">
        <f>F15</f>
        <v>-8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"),0.75)</f>
        <v>0.75</v>
      </c>
      <c r="I285" s="175">
        <v>4.0</v>
      </c>
      <c r="J285" s="177">
        <v>46340.0</v>
      </c>
    </row>
    <row r="286" ht="18.0" customHeight="1">
      <c r="A286" s="169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1</v>
      </c>
      <c r="E286" s="173">
        <f t="array" ref="E286">SUM(MAP(E$17:E$22, F$17:F$22, LAMBDA(e,f, MIN(e, f))))
</f>
        <v>0</v>
      </c>
      <c r="F286" s="174">
        <f>F23</f>
        <v>0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"),0.5)</f>
        <v>0.5</v>
      </c>
      <c r="I286" s="175">
        <v>6.0</v>
      </c>
      <c r="J286" s="179" t="s">
        <v>255</v>
      </c>
    </row>
    <row r="287" ht="18.0" customHeight="1">
      <c r="A287" s="169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"),1.0)</f>
        <v>1</v>
      </c>
      <c r="D287" s="172">
        <f t="array" ref="D287">SUM(MAP(E25:E29, F25:F29, LAMBDA(e, f, MAX(0, e - f)))) / SUM(E25:E29)</f>
        <v>0.6293706294</v>
      </c>
      <c r="E287" s="173">
        <f t="array" ref="E287">SUM(MAP(E$25:E$29, F$25:F$29, LAMBDA(e,f, MIN(e, f))))
</f>
        <v>1325</v>
      </c>
      <c r="F287" s="174">
        <f>F30</f>
        <v>1991.25</v>
      </c>
      <c r="G287" s="175">
        <f>IFERROR(__xludf.DUMMYFUNCTION("SUMPRODUCT(--(C25:C29&lt;&gt;""Vacant-Unrented""),--(C25:C29&lt;&gt;""Vacant-Rented""),--((N(W25:W29)&gt;N(X25:X29))+N(REGEXMATCH(LOWER(C25:C29),""evict""))&gt;0))"),0.0)</f>
        <v>0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"),0.6)</f>
        <v>0.6</v>
      </c>
      <c r="I287" s="175">
        <v>5.0</v>
      </c>
      <c r="J287" s="179" t="s">
        <v>257</v>
      </c>
    </row>
    <row r="288" ht="18.0" customHeight="1">
      <c r="A288" s="169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0.2781071429</v>
      </c>
      <c r="E288" s="173">
        <f t="array" ref="E288">SUM(MAP(E$32:E$33, F$32:F$33, LAMBDA(e,f, MIN(e, f))))
</f>
        <v>1010.65</v>
      </c>
      <c r="F288" s="174">
        <f>F34</f>
        <v>1319.16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  <c r="J288" s="179" t="s">
        <v>259</v>
      </c>
    </row>
    <row r="289" ht="18.0" customHeight="1">
      <c r="A289" s="169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1</v>
      </c>
      <c r="E289" s="173">
        <f t="array" ref="E289">SUM(MAP(E$36:E$37, F$36:F$37, LAMBDA(e,f, MIN(e, f))))
</f>
        <v>0</v>
      </c>
      <c r="F289" s="174">
        <f>F38</f>
        <v>0</v>
      </c>
      <c r="G289" s="175">
        <f>IFERROR(__xludf.DUMMYFUNCTION("SUMPRODUCT(--(C40:C75&lt;&gt;""Vacant-Unrented""),--(C40:C75&lt;&gt;""Vacant-Rented""),--((N(W40:W75)&gt;N(X40:X75))+N(REGEXMATCH(LOWER(C40:C75),""evict""))&gt;0))"),0.0)</f>
        <v>0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  <c r="J289" s="179" t="s">
        <v>261</v>
      </c>
    </row>
    <row r="290" ht="18.0" customHeight="1">
      <c r="A290" s="180" t="s">
        <v>250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0.8580796938</v>
      </c>
      <c r="E290" s="173">
        <f t="array" ref="E290">SUM(MAP(E$40:E$75, F$40:F$75, LAMBDA(e,f, MIN(e, f))))
</f>
        <v>4078.08</v>
      </c>
      <c r="F290" s="174">
        <f>F76</f>
        <v>6318.82</v>
      </c>
      <c r="G290" s="175">
        <f>IFERROR(__xludf.DUMMYFUNCTION("SUMPRODUCT(--(C40:C75&lt;&gt;""Vacant-Unrented""),--(C40:C75&lt;&gt;""Vacant-Rented""),--((N(W40:W75)&gt;N(X40:X75))+N(REGEXMATCH(LOWER(C40:C75),""evict""))&gt;0))"),0.0)</f>
        <v>0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"),0.5)</f>
        <v>0.5</v>
      </c>
      <c r="I290" s="175">
        <v>36.0</v>
      </c>
      <c r="J290" s="179" t="s">
        <v>263</v>
      </c>
    </row>
    <row r="291" ht="18.0" customHeight="1">
      <c r="A291" s="169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"),0.745)</f>
        <v>0.745</v>
      </c>
      <c r="D291" s="172">
        <f t="array" ref="D291">SUM(MAP(E79:E129, F79:F129, LAMBDA(e,f, MAX(0, e-f)))) / SUM(E79:E129)
</f>
        <v>0.7255280075</v>
      </c>
      <c r="E291" s="173">
        <f t="array" ref="E291">SUM(MAP(E$78:E$128, F$78:F$128, LAMBDA(e,f, MIN(e, f))))
</f>
        <v>9535.03</v>
      </c>
      <c r="F291" s="174">
        <f>F129</f>
        <v>14033.88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"),0.0)</f>
        <v>0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"),0.6052631578947368)</f>
        <v>0.6052631579</v>
      </c>
      <c r="I291" s="175">
        <v>51.0</v>
      </c>
      <c r="J291" s="179" t="s">
        <v>265</v>
      </c>
    </row>
    <row r="292" ht="18.0" customHeight="1">
      <c r="A292" s="169" t="s">
        <v>252</v>
      </c>
      <c r="B292" s="170" t="s">
        <v>266</v>
      </c>
      <c r="C292" s="171">
        <f>IFERROR(__xludf.DUMMYFUNCTION("IF(ISNUMBER(SEARCH(""%"",C171)), VALUE(REGEXREPLACE(C171,""[^0-9.]"",""""))/100, VALUE(REGEXREPLACE(C171,""[^0-9.]"","""")))
"),0.9)</f>
        <v>0.9</v>
      </c>
      <c r="D292" s="172">
        <f t="array" ref="D292">SUM(MAP(E131:E170, F131:F170, LAMBDA(e,f, MAX(0, e-f)))) / SUM(E131:E170)
</f>
        <v>0.7842950347</v>
      </c>
      <c r="E292" s="173">
        <f t="array" ref="E292">SUM(MAP(E$131:E$170, F$131:F$170, LAMBDA(e,f, MIN(e, f))))
</f>
        <v>6661.94</v>
      </c>
      <c r="F292" s="174">
        <f>F171</f>
        <v>11681.19</v>
      </c>
      <c r="G292" s="175">
        <f>IFERROR(__xludf.DUMMYFUNCTION("SUMPRODUCT(--(C131:C170&lt;&gt;""Vacant-Unrented""),--(C131:C170&lt;&gt;""Vacant-Rented""),--((N(W131:W170)&gt;N(X131:X170))+N(REGEXMATCH(LOWER(C131:C170),""evict""))&gt;0))"),1.0)</f>
        <v>1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"),0.3333333333333333)</f>
        <v>0.3333333333</v>
      </c>
      <c r="I292" s="175">
        <v>40.0</v>
      </c>
      <c r="J292" s="179" t="s">
        <v>267</v>
      </c>
    </row>
    <row r="293" ht="18.0" customHeight="1">
      <c r="A293" s="169" t="s">
        <v>252</v>
      </c>
      <c r="B293" s="170" t="s">
        <v>268</v>
      </c>
      <c r="C293" s="171">
        <f>IFERROR(__xludf.DUMMYFUNCTION("IF(ISNUMBER(SEARCH(""%"",C195)), VALUE(REGEXREPLACE(C195,""[^0-9.]"",""""))/100, VALUE(REGEXREPLACE(C195,""[^0-9.]"","""")))
"),0.909)</f>
        <v>0.909</v>
      </c>
      <c r="D293" s="172">
        <f t="array" ref="D293">SUM(MAP(E174:E195, F174:F195, LAMBDA(e,f, MAX(0, e-f)))) / SUM(E174:E195)
</f>
        <v>0.9106945195</v>
      </c>
      <c r="E293" s="173">
        <f t="array" ref="E293">SUM(MAP(E$173:E$194, F$173:F$194, LAMBDA(e,f, MIN(e, f))))
</f>
        <v>1091.52</v>
      </c>
      <c r="F293" s="174">
        <f>F195</f>
        <v>1719.37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"),0.6)</f>
        <v>0.6</v>
      </c>
      <c r="I293" s="175">
        <v>22.0</v>
      </c>
      <c r="J293" s="179" t="s">
        <v>269</v>
      </c>
    </row>
    <row r="294" ht="18.0" customHeight="1">
      <c r="A294" s="169" t="s">
        <v>252</v>
      </c>
      <c r="B294" s="170" t="s">
        <v>270</v>
      </c>
      <c r="C294" s="171">
        <f>IFERROR(__xludf.DUMMYFUNCTION("IF(ISNUMBER(SEARCH(""%"",C247)), VALUE(REGEXREPLACE(C247,""[^0-9.]"",""""))/100, VALUE(REGEXREPLACE(C247,""[^0-9.]"","""")))
"),0.92)</f>
        <v>0.92</v>
      </c>
      <c r="D294" s="172">
        <f t="array" ref="D294">SUM(MAP(E197:E246, F197:F246, LAMBDA(e,f, MAX(0, e-f)))) / SUM(E197:E246)
</f>
        <v>0.917331171</v>
      </c>
      <c r="E294" s="173">
        <f t="array" ref="E294">SUM(MAP(E$197:E$246, F$197:F$246, LAMBDA(e,f, MIN(e, f))))
</f>
        <v>4506.22</v>
      </c>
      <c r="F294" s="174">
        <f>F247</f>
        <v>8453.42</v>
      </c>
      <c r="G294" s="175">
        <f>IFERROR(__xludf.DUMMYFUNCTION("SUMPRODUCT(--(C197:C246&lt;&gt;""Vacant-Unrented""),--(C197:C246&lt;&gt;""Vacant-Rented""),--((N(W197:W246)&gt;N(X197:X246))+N(REGEXMATCH(LOWER(C197:C246),""evict""))&gt;0))"),0.0)</f>
        <v>0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"),0.5217391304347826)</f>
        <v>0.5217391304</v>
      </c>
      <c r="I294" s="175">
        <v>50.0</v>
      </c>
      <c r="J294" s="179" t="s">
        <v>271</v>
      </c>
    </row>
    <row r="295" ht="18.0" customHeight="1">
      <c r="A295" s="180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0.9441230339</v>
      </c>
      <c r="E295" s="183">
        <f t="array" ref="E295">SUM(MAP(E$249:E$278, F$249:F$278, LAMBDA(e,f, MIN(e, f))))
</f>
        <v>1235.03</v>
      </c>
      <c r="F295" s="184">
        <f>F279</f>
        <v>1264.6</v>
      </c>
      <c r="G295" s="185">
        <f>IFERROR(__xludf.DUMMYFUNCTION("SUMPRODUCT(--(C249:C278&lt;&gt;""Vacant-Unrented""),--(C249:C278&lt;&gt;""Vacant-Rented""),--((N(W249:W278)&gt;N(X249:X278))+N(REGEXMATCH(LOWER(C249:C278),""evict""))&gt;0))"),0.0)</f>
        <v>0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"),0.6)</f>
        <v>0.6</v>
      </c>
      <c r="I295" s="175">
        <v>30.0</v>
      </c>
      <c r="J295" s="179" t="s">
        <v>273</v>
      </c>
    </row>
    <row r="296" ht="18.0" customHeight="1">
      <c r="A296" s="186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0)"),0.8833992395437262)</f>
        <v>0.8833992395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"),0.8593883694757012)</f>
        <v>0.8593883695</v>
      </c>
      <c r="E296" s="190">
        <f t="shared" ref="E296:G296" si="7">sum(E285:E295)</f>
        <v>29435.47</v>
      </c>
      <c r="F296" s="190">
        <f t="shared" si="7"/>
        <v>46773.69</v>
      </c>
      <c r="G296" s="191">
        <f t="shared" si="7"/>
        <v>1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"),0.5342465753424658)</f>
        <v>0.5342465753</v>
      </c>
      <c r="I296" s="193"/>
      <c r="J296" s="194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5"/>
    <col customWidth="1" min="7" max="7" width="31.25"/>
    <col customWidth="1" min="8" max="8" width="111.13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28" t="s">
        <v>10</v>
      </c>
    </row>
    <row r="2" ht="18.0" customHeight="1">
      <c r="A2" s="130" t="s">
        <v>283</v>
      </c>
    </row>
    <row r="3" ht="18.0" customHeight="1">
      <c r="A3" s="130"/>
    </row>
    <row r="4" ht="18.0" customHeight="1">
      <c r="A4" s="131" t="s">
        <v>284</v>
      </c>
    </row>
    <row r="5" ht="18.0" customHeight="1">
      <c r="A5" s="131" t="s">
        <v>285</v>
      </c>
    </row>
    <row r="6" ht="18.0" customHeight="1">
      <c r="A6" s="131" t="s">
        <v>286</v>
      </c>
    </row>
    <row r="7" ht="18.0" customHeight="1">
      <c r="A7" s="131" t="s">
        <v>287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0.0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-8.0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39</v>
      </c>
      <c r="D14" s="135">
        <v>950.0</v>
      </c>
      <c r="E14" s="136">
        <v>1000.0</v>
      </c>
      <c r="F14" s="136">
        <v>0.0</v>
      </c>
      <c r="G14" s="136">
        <v>0.0</v>
      </c>
      <c r="H14" s="136">
        <v>0.0</v>
      </c>
      <c r="I14" s="136">
        <v>1000.0</v>
      </c>
      <c r="J14" s="136">
        <v>0.0</v>
      </c>
      <c r="K14" s="136">
        <v>0.0</v>
      </c>
      <c r="L14" s="136">
        <v>0.0</v>
      </c>
      <c r="M14" s="136">
        <v>0.0</v>
      </c>
      <c r="N14" s="136">
        <v>0.0</v>
      </c>
      <c r="O14" s="136">
        <v>0.0</v>
      </c>
      <c r="P14" s="136">
        <v>0.0</v>
      </c>
      <c r="Q14" s="136">
        <v>0.0</v>
      </c>
      <c r="R14" s="136">
        <v>0.0</v>
      </c>
      <c r="S14" s="137">
        <v>45366.0</v>
      </c>
      <c r="T14" s="137">
        <v>46095.0</v>
      </c>
    </row>
    <row r="15" ht="18.0" customHeight="1">
      <c r="A15" s="138" t="s">
        <v>43</v>
      </c>
      <c r="B15" s="138"/>
      <c r="C15" s="138" t="s">
        <v>44</v>
      </c>
      <c r="D15" s="139">
        <v>3800.0</v>
      </c>
      <c r="E15" s="140">
        <v>3925.0</v>
      </c>
      <c r="F15" s="140">
        <v>-8.0</v>
      </c>
      <c r="G15" s="140">
        <v>0.0</v>
      </c>
      <c r="H15" s="140">
        <v>0.0</v>
      </c>
      <c r="I15" s="140">
        <v>3532.0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46078.0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925.0</v>
      </c>
      <c r="F22" s="136">
        <v>146.25</v>
      </c>
      <c r="G22" s="136">
        <v>0.0</v>
      </c>
      <c r="H22" s="136">
        <v>0.0</v>
      </c>
      <c r="I22" s="136">
        <v>925.0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0.0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3650.0</v>
      </c>
      <c r="F23" s="140">
        <v>146.25</v>
      </c>
      <c r="G23" s="140">
        <v>0.0</v>
      </c>
      <c r="H23" s="140">
        <v>0.0</v>
      </c>
      <c r="I23" s="140">
        <v>3065.0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25.0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47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-50.0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39</v>
      </c>
      <c r="D28" s="135">
        <v>621.0</v>
      </c>
      <c r="E28" s="136">
        <v>725.0</v>
      </c>
      <c r="F28" s="136">
        <v>898.75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46066.0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848.75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750.0</v>
      </c>
      <c r="F32" s="136">
        <v>-118.0</v>
      </c>
      <c r="G32" s="136">
        <v>0.0</v>
      </c>
      <c r="H32" s="136">
        <v>0.0</v>
      </c>
      <c r="I32" s="136">
        <v>750.0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0.0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1400.0</v>
      </c>
      <c r="F34" s="140">
        <v>-118.0</v>
      </c>
      <c r="G34" s="140">
        <v>0.0</v>
      </c>
      <c r="H34" s="140">
        <v>0.0</v>
      </c>
      <c r="I34" s="140">
        <v>1400.0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0.0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45991.0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46035.0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45108.0</v>
      </c>
      <c r="T44" s="137"/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676.25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46009.0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45954.0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0.0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45990.0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0.0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800.0</v>
      </c>
      <c r="F54" s="136">
        <v>0.0</v>
      </c>
      <c r="G54" s="136">
        <v>0.0</v>
      </c>
      <c r="H54" s="136">
        <v>0.0</v>
      </c>
      <c r="I54" s="136">
        <v>800.0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45946.0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0.0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46081.0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750.0</v>
      </c>
      <c r="F58" s="136">
        <v>0.0</v>
      </c>
      <c r="G58" s="136">
        <v>0.0</v>
      </c>
      <c r="H58" s="136">
        <v>0.0</v>
      </c>
      <c r="I58" s="136">
        <v>750.0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46022.0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1025.0</v>
      </c>
      <c r="F60" s="136">
        <v>240.83</v>
      </c>
      <c r="G60" s="136">
        <v>0.0</v>
      </c>
      <c r="H60" s="136">
        <v>0.0</v>
      </c>
      <c r="I60" s="136">
        <v>1025.0</v>
      </c>
      <c r="J60" s="136">
        <v>0.0</v>
      </c>
      <c r="K60" s="136">
        <v>0.0</v>
      </c>
      <c r="L60" s="136">
        <v>0.0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49.75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39</v>
      </c>
      <c r="D65" s="135">
        <v>700.0</v>
      </c>
      <c r="E65" s="136">
        <v>825.0</v>
      </c>
      <c r="F65" s="136">
        <v>1211.25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46077.0</v>
      </c>
    </row>
    <row r="68" ht="18.0" customHeight="1">
      <c r="A68" s="134" t="s">
        <v>91</v>
      </c>
      <c r="B68" s="134" t="s">
        <v>38</v>
      </c>
      <c r="C68" s="134" t="s">
        <v>39</v>
      </c>
      <c r="D68" s="135">
        <v>950.0</v>
      </c>
      <c r="E68" s="136">
        <v>800.0</v>
      </c>
      <c r="F68" s="136">
        <v>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846.25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750.0</v>
      </c>
      <c r="F70" s="136">
        <v>0.0</v>
      </c>
      <c r="G70" s="136">
        <v>0.0</v>
      </c>
      <c r="H70" s="136">
        <v>0.0</v>
      </c>
      <c r="I70" s="136">
        <v>750.0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1025.0</v>
      </c>
      <c r="F72" s="136">
        <v>3019.49</v>
      </c>
      <c r="G72" s="136">
        <v>0.0</v>
      </c>
      <c r="H72" s="136">
        <v>0.0</v>
      </c>
      <c r="I72" s="136">
        <v>1025.0</v>
      </c>
      <c r="J72" s="136">
        <v>0.0</v>
      </c>
      <c r="K72" s="136">
        <v>0.0</v>
      </c>
      <c r="L72" s="136">
        <v>0.0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625.0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46094.0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28885.0</v>
      </c>
      <c r="F76" s="140">
        <v>6668.82</v>
      </c>
      <c r="G76" s="140">
        <v>0.0</v>
      </c>
      <c r="H76" s="140">
        <v>0.0</v>
      </c>
      <c r="I76" s="140">
        <v>28820.0</v>
      </c>
      <c r="J76" s="140">
        <v>0.0</v>
      </c>
      <c r="K76" s="140">
        <v>0.0</v>
      </c>
      <c r="L76" s="140">
        <v>0.0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900.0</v>
      </c>
      <c r="F78" s="136">
        <v>0.0</v>
      </c>
      <c r="G78" s="136">
        <v>0.0</v>
      </c>
      <c r="H78" s="136">
        <v>0.0</v>
      </c>
      <c r="I78" s="136">
        <v>44.0</v>
      </c>
      <c r="J78" s="136">
        <v>0.0</v>
      </c>
      <c r="K78" s="136">
        <v>0.0</v>
      </c>
      <c r="L78" s="136">
        <v>856.0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47</v>
      </c>
      <c r="D79" s="135">
        <v>1400.0</v>
      </c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7"/>
      <c r="T79" s="137"/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107</v>
      </c>
      <c r="D81" s="135">
        <v>1400.0</v>
      </c>
      <c r="E81" s="136">
        <v>1150.0</v>
      </c>
      <c r="F81" s="136">
        <v>100.0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46073.0</v>
      </c>
    </row>
    <row r="82" ht="18.0" customHeight="1">
      <c r="A82" s="134" t="s">
        <v>108</v>
      </c>
      <c r="B82" s="134" t="s">
        <v>104</v>
      </c>
      <c r="C82" s="134" t="s">
        <v>39</v>
      </c>
      <c r="D82" s="135">
        <v>1400.0</v>
      </c>
      <c r="E82" s="136">
        <v>1250.0</v>
      </c>
      <c r="F82" s="136">
        <v>1.74</v>
      </c>
      <c r="G82" s="136">
        <v>0.0</v>
      </c>
      <c r="H82" s="136">
        <v>0.0</v>
      </c>
      <c r="I82" s="136">
        <v>1250.0</v>
      </c>
      <c r="J82" s="136">
        <v>0.0</v>
      </c>
      <c r="K82" s="136">
        <v>0.0</v>
      </c>
      <c r="L82" s="136">
        <v>0.0</v>
      </c>
      <c r="M82" s="136">
        <v>0.0</v>
      </c>
      <c r="N82" s="136">
        <v>0.0</v>
      </c>
      <c r="O82" s="136">
        <v>0.0</v>
      </c>
      <c r="P82" s="136">
        <v>0.0</v>
      </c>
      <c r="Q82" s="136">
        <v>0.0</v>
      </c>
      <c r="R82" s="136">
        <v>0.0</v>
      </c>
      <c r="S82" s="137">
        <v>45221.0</v>
      </c>
      <c r="T82" s="137">
        <v>45951.0</v>
      </c>
    </row>
    <row r="83" ht="18.0" customHeight="1">
      <c r="A83" s="134" t="s">
        <v>109</v>
      </c>
      <c r="B83" s="134" t="s">
        <v>38</v>
      </c>
      <c r="C83" s="134" t="s">
        <v>47</v>
      </c>
      <c r="D83" s="135">
        <v>1400.0</v>
      </c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7"/>
      <c r="T83" s="137"/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157.54</v>
      </c>
      <c r="G84" s="136">
        <v>0.0</v>
      </c>
      <c r="H84" s="136">
        <v>0.0</v>
      </c>
      <c r="I84" s="136">
        <v>61.0</v>
      </c>
      <c r="J84" s="136">
        <v>0.0</v>
      </c>
      <c r="K84" s="136">
        <v>0.0</v>
      </c>
      <c r="L84" s="136">
        <v>839.0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47</v>
      </c>
      <c r="D86" s="135">
        <v>1400.0</v>
      </c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7"/>
      <c r="T86" s="137"/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1015.0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1555.0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-1100.0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47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39</v>
      </c>
      <c r="D93" s="135">
        <v>1400.0</v>
      </c>
      <c r="E93" s="136">
        <v>1150.0</v>
      </c>
      <c r="F93" s="136">
        <v>35.0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960.0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20.0</v>
      </c>
      <c r="G95" s="136">
        <v>0.0</v>
      </c>
      <c r="H95" s="136">
        <v>0.0</v>
      </c>
      <c r="I95" s="136">
        <v>280.0</v>
      </c>
      <c r="J95" s="136">
        <v>0.0</v>
      </c>
      <c r="K95" s="136">
        <v>0.0</v>
      </c>
      <c r="L95" s="136">
        <v>620.0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115</v>
      </c>
      <c r="C96" s="134" t="s">
        <v>47</v>
      </c>
      <c r="D96" s="135">
        <v>1400.0</v>
      </c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7"/>
      <c r="T96" s="137"/>
    </row>
    <row r="97" ht="18.0" customHeight="1">
      <c r="A97" s="134" t="s">
        <v>124</v>
      </c>
      <c r="B97" s="134" t="s">
        <v>115</v>
      </c>
      <c r="C97" s="134" t="s">
        <v>39</v>
      </c>
      <c r="D97" s="135">
        <v>1400.0</v>
      </c>
      <c r="E97" s="136">
        <v>1300.0</v>
      </c>
      <c r="F97" s="136">
        <v>2585.0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-25.0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0.0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/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0.0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47</v>
      </c>
      <c r="D108" s="135">
        <v>1400.0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7"/>
      <c r="T108" s="137"/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47</v>
      </c>
      <c r="D113" s="135">
        <v>1400.0</v>
      </c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7"/>
      <c r="T113" s="137"/>
    </row>
    <row r="114" ht="18.0" customHeight="1">
      <c r="A114" s="134" t="s">
        <v>141</v>
      </c>
      <c r="B114" s="134" t="s">
        <v>38</v>
      </c>
      <c r="C114" s="134" t="s">
        <v>178</v>
      </c>
      <c r="D114" s="135">
        <v>1400.0</v>
      </c>
      <c r="E114" s="136">
        <v>900.0</v>
      </c>
      <c r="F114" s="136">
        <v>2700.0</v>
      </c>
      <c r="G114" s="136">
        <v>0.0</v>
      </c>
      <c r="H114" s="136">
        <v>0.0</v>
      </c>
      <c r="I114" s="136">
        <v>0.0</v>
      </c>
      <c r="J114" s="136">
        <v>0.0</v>
      </c>
      <c r="K114" s="136">
        <v>0.0</v>
      </c>
      <c r="L114" s="136">
        <v>900.0</v>
      </c>
      <c r="M114" s="136">
        <v>0.0</v>
      </c>
      <c r="N114" s="136">
        <v>0.0</v>
      </c>
      <c r="O114" s="136">
        <v>0.0</v>
      </c>
      <c r="P114" s="136">
        <v>0.0</v>
      </c>
      <c r="Q114" s="136">
        <v>0.0</v>
      </c>
      <c r="R114" s="136">
        <v>0.0</v>
      </c>
      <c r="S114" s="137">
        <v>45231.0</v>
      </c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0.0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44866.0</v>
      </c>
      <c r="T115" s="137"/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-8.0</v>
      </c>
      <c r="G116" s="136">
        <v>0.0</v>
      </c>
      <c r="H116" s="136">
        <v>0.0</v>
      </c>
      <c r="I116" s="136">
        <v>89.0</v>
      </c>
      <c r="J116" s="136">
        <v>0.0</v>
      </c>
      <c r="K116" s="136">
        <v>0.0</v>
      </c>
      <c r="L116" s="136">
        <v>886.0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45047.0</v>
      </c>
      <c r="T116" s="137"/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1601.85</v>
      </c>
      <c r="G118" s="136">
        <v>0.0</v>
      </c>
      <c r="H118" s="136">
        <v>0.0</v>
      </c>
      <c r="I118" s="136">
        <v>817.0</v>
      </c>
      <c r="J118" s="136">
        <v>0.0</v>
      </c>
      <c r="K118" s="136">
        <v>0.0</v>
      </c>
      <c r="L118" s="136">
        <v>533.0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-5.0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0.0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1350.0</v>
      </c>
      <c r="F125" s="136">
        <v>-834.0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841.0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0.0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39</v>
      </c>
      <c r="D128" s="135">
        <v>1400.0</v>
      </c>
      <c r="E128" s="136">
        <v>1000.0</v>
      </c>
      <c r="F128" s="136">
        <v>0.0</v>
      </c>
      <c r="G128" s="136">
        <v>0.0</v>
      </c>
      <c r="H128" s="136">
        <v>0.0</v>
      </c>
      <c r="I128" s="136">
        <v>1000.0</v>
      </c>
      <c r="J128" s="136">
        <v>0.0</v>
      </c>
      <c r="K128" s="136">
        <v>0.0</v>
      </c>
      <c r="L128" s="136">
        <v>0.0</v>
      </c>
      <c r="M128" s="136">
        <v>0.0</v>
      </c>
      <c r="N128" s="136">
        <v>0.0</v>
      </c>
      <c r="O128" s="136">
        <v>0.0</v>
      </c>
      <c r="P128" s="136">
        <v>0.0</v>
      </c>
      <c r="Q128" s="136">
        <v>0.0</v>
      </c>
      <c r="R128" s="136">
        <v>0.0</v>
      </c>
      <c r="S128" s="137">
        <v>44927.0</v>
      </c>
      <c r="T128" s="137"/>
    </row>
    <row r="129" ht="18.0" customHeight="1">
      <c r="A129" s="138" t="s">
        <v>156</v>
      </c>
      <c r="B129" s="138"/>
      <c r="C129" s="138" t="s">
        <v>289</v>
      </c>
      <c r="D129" s="139">
        <v>71400.0</v>
      </c>
      <c r="E129" s="140">
        <v>41385.0</v>
      </c>
      <c r="F129" s="140">
        <v>9600.13</v>
      </c>
      <c r="G129" s="140">
        <v>0.0</v>
      </c>
      <c r="H129" s="140">
        <v>0.0</v>
      </c>
      <c r="I129" s="140">
        <v>34011.0</v>
      </c>
      <c r="J129" s="140">
        <v>0.0</v>
      </c>
      <c r="K129" s="140">
        <v>0.0</v>
      </c>
      <c r="L129" s="140">
        <v>7374.0</v>
      </c>
      <c r="M129" s="140">
        <v>0.0</v>
      </c>
      <c r="N129" s="140">
        <v>0.0</v>
      </c>
      <c r="O129" s="140">
        <v>0.0</v>
      </c>
      <c r="P129" s="140">
        <v>0.0</v>
      </c>
      <c r="Q129" s="140">
        <v>0.0</v>
      </c>
      <c r="R129" s="140">
        <v>0.0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0.0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0.0</v>
      </c>
      <c r="G132" s="136">
        <v>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900.0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0.0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0.0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-50.0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0.0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47</v>
      </c>
      <c r="D138" s="135">
        <v>800.0</v>
      </c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7"/>
      <c r="T138" s="137"/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50.0</v>
      </c>
      <c r="F139" s="136">
        <v>212.5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/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0.0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1175.0</v>
      </c>
      <c r="F141" s="136">
        <v>0.0</v>
      </c>
      <c r="G141" s="136">
        <v>0.0</v>
      </c>
      <c r="H141" s="136">
        <v>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-40.0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1230.0</v>
      </c>
      <c r="F143" s="136">
        <v>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1150.0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/>
    </row>
    <row r="144" ht="18.0" customHeight="1">
      <c r="A144" s="134" t="s">
        <v>173</v>
      </c>
      <c r="B144" s="134" t="s">
        <v>168</v>
      </c>
      <c r="C144" s="134" t="s">
        <v>47</v>
      </c>
      <c r="D144" s="135">
        <v>1000.0</v>
      </c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7"/>
      <c r="T144" s="137"/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-9.04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46022.0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467.5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0.0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0.0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900.0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/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800.0</v>
      </c>
      <c r="F153" s="136">
        <v>-521.0</v>
      </c>
      <c r="G153" s="136">
        <v>0.0</v>
      </c>
      <c r="H153" s="136">
        <v>0.0</v>
      </c>
      <c r="I153" s="136">
        <v>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/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886.0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273.0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/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0.0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/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0.0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47</v>
      </c>
      <c r="D159" s="135">
        <v>850.0</v>
      </c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7"/>
      <c r="T159" s="137"/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86.0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/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-15.0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/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357.0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366.08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0.0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0.0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39</v>
      </c>
      <c r="D166" s="135">
        <v>850.0</v>
      </c>
      <c r="E166" s="136">
        <v>1000.0</v>
      </c>
      <c r="F166" s="136">
        <v>0.0</v>
      </c>
      <c r="G166" s="136">
        <v>0.0</v>
      </c>
      <c r="H166" s="136">
        <v>0.0</v>
      </c>
      <c r="I166" s="136">
        <v>1000.0</v>
      </c>
      <c r="J166" s="136">
        <v>0.0</v>
      </c>
      <c r="K166" s="136">
        <v>0.0</v>
      </c>
      <c r="L166" s="136">
        <v>0.0</v>
      </c>
      <c r="M166" s="136">
        <v>0.0</v>
      </c>
      <c r="N166" s="136">
        <v>0.0</v>
      </c>
      <c r="O166" s="136">
        <v>0.0</v>
      </c>
      <c r="P166" s="136">
        <v>0.0</v>
      </c>
      <c r="Q166" s="136">
        <v>0.0</v>
      </c>
      <c r="R166" s="136">
        <v>0.0</v>
      </c>
      <c r="S166" s="137">
        <v>45786.0</v>
      </c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46022.0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843.0</v>
      </c>
      <c r="F168" s="136">
        <v>597.3</v>
      </c>
      <c r="G168" s="136">
        <v>0.0</v>
      </c>
      <c r="H168" s="136">
        <v>0.0</v>
      </c>
      <c r="I168" s="136">
        <v>406.0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437.0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46023.0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900.0</v>
      </c>
      <c r="F169" s="136">
        <v>562.0</v>
      </c>
      <c r="G169" s="136">
        <v>0.0</v>
      </c>
      <c r="H169" s="136">
        <v>0.0</v>
      </c>
      <c r="I169" s="136">
        <v>900.0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/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202</v>
      </c>
      <c r="D171" s="139">
        <v>34800.0</v>
      </c>
      <c r="E171" s="140">
        <v>30819.5</v>
      </c>
      <c r="F171" s="140">
        <v>4072.34</v>
      </c>
      <c r="G171" s="140">
        <v>0.0</v>
      </c>
      <c r="H171" s="140">
        <v>130.0</v>
      </c>
      <c r="I171" s="140">
        <v>15085.0</v>
      </c>
      <c r="J171" s="140">
        <v>0.0</v>
      </c>
      <c r="K171" s="140">
        <v>3491.0</v>
      </c>
      <c r="L171" s="140">
        <v>900.0</v>
      </c>
      <c r="M171" s="140">
        <v>1958.0</v>
      </c>
      <c r="N171" s="140">
        <v>9120.0</v>
      </c>
      <c r="O171" s="140">
        <v>125.0</v>
      </c>
      <c r="P171" s="140">
        <v>0.0</v>
      </c>
      <c r="Q171" s="140">
        <v>0.0</v>
      </c>
      <c r="R171" s="140">
        <v>10.5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775.0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1282.5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0.0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0.0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520.35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850.0</v>
      </c>
      <c r="F190" s="136">
        <v>-203.48</v>
      </c>
      <c r="G190" s="136">
        <v>0.0</v>
      </c>
      <c r="H190" s="136">
        <v>0.0</v>
      </c>
      <c r="I190" s="136">
        <v>850.0</v>
      </c>
      <c r="J190" s="136">
        <v>0.0</v>
      </c>
      <c r="K190" s="136">
        <v>0.0</v>
      </c>
      <c r="L190" s="136">
        <v>0.0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47</v>
      </c>
      <c r="D192" s="135">
        <v>825.0</v>
      </c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7"/>
      <c r="T192" s="137"/>
    </row>
    <row r="193" ht="18.0" customHeight="1">
      <c r="A193" s="134" t="s">
        <v>224</v>
      </c>
      <c r="B193" s="134" t="s">
        <v>56</v>
      </c>
      <c r="C193" s="134" t="s">
        <v>47</v>
      </c>
      <c r="D193" s="135">
        <v>750.0</v>
      </c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7"/>
      <c r="T193" s="137"/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750.0</v>
      </c>
      <c r="F194" s="136">
        <v>-775.0</v>
      </c>
      <c r="G194" s="136">
        <v>0.0</v>
      </c>
      <c r="H194" s="136">
        <v>0.0</v>
      </c>
      <c r="I194" s="136">
        <v>750.0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/>
    </row>
    <row r="195" ht="18.0" customHeight="1">
      <c r="A195" s="138" t="s">
        <v>226</v>
      </c>
      <c r="B195" s="138"/>
      <c r="C195" s="138" t="s">
        <v>227</v>
      </c>
      <c r="D195" s="139">
        <v>17550.0</v>
      </c>
      <c r="E195" s="140">
        <v>16235.0</v>
      </c>
      <c r="F195" s="140">
        <v>1599.37</v>
      </c>
      <c r="G195" s="140">
        <v>0.0</v>
      </c>
      <c r="H195" s="140">
        <v>0.0</v>
      </c>
      <c r="I195" s="140">
        <v>16235.0</v>
      </c>
      <c r="J195" s="140">
        <v>0.0</v>
      </c>
      <c r="K195" s="140">
        <v>0.0</v>
      </c>
      <c r="L195" s="140">
        <v>0.0</v>
      </c>
      <c r="M195" s="140">
        <v>0.0</v>
      </c>
      <c r="N195" s="140">
        <v>0.0</v>
      </c>
      <c r="O195" s="140">
        <v>0.0</v>
      </c>
      <c r="P195" s="140">
        <v>0.0</v>
      </c>
      <c r="Q195" s="140">
        <v>0.0</v>
      </c>
      <c r="R195" s="140">
        <v>0.0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232.5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31.0</v>
      </c>
      <c r="G199" s="136">
        <v>0.0</v>
      </c>
      <c r="H199" s="136">
        <v>225.0</v>
      </c>
      <c r="I199" s="136">
        <v>91.0</v>
      </c>
      <c r="J199" s="136">
        <v>0.0</v>
      </c>
      <c r="K199" s="136">
        <v>0.0</v>
      </c>
      <c r="L199" s="136">
        <v>934.0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1125.0</v>
      </c>
      <c r="F200" s="136">
        <v>208.63</v>
      </c>
      <c r="G200" s="136">
        <v>0.0</v>
      </c>
      <c r="H200" s="136">
        <v>225.0</v>
      </c>
      <c r="I200" s="136">
        <v>900.0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-1158.0</v>
      </c>
      <c r="G202" s="136">
        <v>0.0</v>
      </c>
      <c r="H202" s="136">
        <v>225.0</v>
      </c>
      <c r="I202" s="136">
        <v>135.0</v>
      </c>
      <c r="J202" s="136">
        <v>0.0</v>
      </c>
      <c r="K202" s="136">
        <v>0.0</v>
      </c>
      <c r="L202" s="136">
        <v>890.0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1016.95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1220.0</v>
      </c>
      <c r="F207" s="136">
        <v>-18.26</v>
      </c>
      <c r="G207" s="136">
        <v>0.0</v>
      </c>
      <c r="H207" s="136">
        <v>225.0</v>
      </c>
      <c r="I207" s="136">
        <v>995.0</v>
      </c>
      <c r="J207" s="136">
        <v>0.0</v>
      </c>
      <c r="K207" s="136">
        <v>0.0</v>
      </c>
      <c r="L207" s="136">
        <v>0.0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-46.25</v>
      </c>
      <c r="G208" s="136">
        <v>0.0</v>
      </c>
      <c r="H208" s="136">
        <v>225.0</v>
      </c>
      <c r="I208" s="136">
        <v>120.0</v>
      </c>
      <c r="J208" s="136">
        <v>0.0</v>
      </c>
      <c r="K208" s="136">
        <v>0.0</v>
      </c>
      <c r="L208" s="136">
        <v>905.0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1250.0</v>
      </c>
      <c r="F211" s="136">
        <v>-1.0</v>
      </c>
      <c r="G211" s="136">
        <v>0.0</v>
      </c>
      <c r="H211" s="136">
        <v>225.0</v>
      </c>
      <c r="I211" s="136">
        <v>1025.0</v>
      </c>
      <c r="J211" s="136">
        <v>0.0</v>
      </c>
      <c r="K211" s="136">
        <v>0.0</v>
      </c>
      <c r="L211" s="136">
        <v>0.0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304.95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496.25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46006.0</v>
      </c>
    </row>
    <row r="217" ht="18.0" customHeight="1">
      <c r="A217" s="134" t="s">
        <v>84</v>
      </c>
      <c r="B217" s="134" t="s">
        <v>38</v>
      </c>
      <c r="C217" s="134" t="s">
        <v>178</v>
      </c>
      <c r="D217" s="135">
        <v>825.0</v>
      </c>
      <c r="E217" s="136">
        <v>1250.0</v>
      </c>
      <c r="F217" s="136">
        <v>4566.0</v>
      </c>
      <c r="G217" s="136">
        <v>0.0</v>
      </c>
      <c r="H217" s="136">
        <v>225.0</v>
      </c>
      <c r="I217" s="136">
        <v>1025.0</v>
      </c>
      <c r="J217" s="136">
        <v>0.0</v>
      </c>
      <c r="K217" s="136">
        <v>0.0</v>
      </c>
      <c r="L217" s="136">
        <v>0.0</v>
      </c>
      <c r="M217" s="136">
        <v>0.0</v>
      </c>
      <c r="N217" s="136">
        <v>0.0</v>
      </c>
      <c r="O217" s="136">
        <v>0.0</v>
      </c>
      <c r="P217" s="136">
        <v>0.0</v>
      </c>
      <c r="Q217" s="136">
        <v>0.0</v>
      </c>
      <c r="R217" s="136">
        <v>0.0</v>
      </c>
      <c r="S217" s="137">
        <v>45483.0</v>
      </c>
      <c r="T217" s="137">
        <v>46031.0</v>
      </c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1.0</v>
      </c>
      <c r="G222" s="136">
        <v>0.0</v>
      </c>
      <c r="H222" s="136">
        <v>225.0</v>
      </c>
      <c r="I222" s="136">
        <v>659.0</v>
      </c>
      <c r="J222" s="136">
        <v>0.0</v>
      </c>
      <c r="K222" s="136">
        <v>0.0</v>
      </c>
      <c r="L222" s="136">
        <v>416.0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46081.0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1250.0</v>
      </c>
      <c r="F225" s="136">
        <v>0.0</v>
      </c>
      <c r="G225" s="136">
        <v>0.0</v>
      </c>
      <c r="H225" s="136">
        <v>225.0</v>
      </c>
      <c r="I225" s="136">
        <v>1025.0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/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1125.0</v>
      </c>
      <c r="F226" s="136">
        <v>0.0</v>
      </c>
      <c r="G226" s="136">
        <v>0.0</v>
      </c>
      <c r="H226" s="136">
        <v>225.0</v>
      </c>
      <c r="I226" s="136">
        <v>900.0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46022.0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0.0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-10.0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46091.0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469.75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45.2</v>
      </c>
      <c r="G233" s="136">
        <v>0.0</v>
      </c>
      <c r="H233" s="136">
        <v>225.0</v>
      </c>
      <c r="I233" s="136">
        <v>424.0</v>
      </c>
      <c r="J233" s="136">
        <v>0.0</v>
      </c>
      <c r="K233" s="136">
        <v>0.0</v>
      </c>
      <c r="L233" s="136">
        <v>601.0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343.7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107</v>
      </c>
      <c r="D236" s="135">
        <v>825.0</v>
      </c>
      <c r="E236" s="136">
        <v>1200.0</v>
      </c>
      <c r="F236" s="136">
        <v>0.0</v>
      </c>
      <c r="G236" s="136">
        <v>0.0</v>
      </c>
      <c r="H236" s="136">
        <v>225.0</v>
      </c>
      <c r="I236" s="136">
        <v>975.0</v>
      </c>
      <c r="J236" s="136">
        <v>0.0</v>
      </c>
      <c r="K236" s="136">
        <v>0.0</v>
      </c>
      <c r="L236" s="136">
        <v>0.0</v>
      </c>
      <c r="M236" s="136">
        <v>0.0</v>
      </c>
      <c r="N236" s="136">
        <v>0.0</v>
      </c>
      <c r="O236" s="136">
        <v>0.0</v>
      </c>
      <c r="P236" s="136">
        <v>0.0</v>
      </c>
      <c r="Q236" s="136">
        <v>0.0</v>
      </c>
      <c r="R236" s="136">
        <v>0.0</v>
      </c>
      <c r="S236" s="137">
        <v>45823.0</v>
      </c>
      <c r="T236" s="137">
        <v>46187.0</v>
      </c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-85.0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39</v>
      </c>
      <c r="D238" s="135">
        <v>825.0</v>
      </c>
      <c r="E238" s="136">
        <v>1250.0</v>
      </c>
      <c r="F238" s="136">
        <v>674.4</v>
      </c>
      <c r="G238" s="136">
        <v>0.0</v>
      </c>
      <c r="H238" s="136">
        <v>225.0</v>
      </c>
      <c r="I238" s="136">
        <v>1025.0</v>
      </c>
      <c r="J238" s="136">
        <v>0.0</v>
      </c>
      <c r="K238" s="136">
        <v>0.0</v>
      </c>
      <c r="L238" s="136">
        <v>0.0</v>
      </c>
      <c r="M238" s="136">
        <v>0.0</v>
      </c>
      <c r="N238" s="136">
        <v>0.0</v>
      </c>
      <c r="O238" s="136">
        <v>0.0</v>
      </c>
      <c r="P238" s="136">
        <v>0.0</v>
      </c>
      <c r="Q238" s="136">
        <v>0.0</v>
      </c>
      <c r="R238" s="136">
        <v>0.0</v>
      </c>
      <c r="S238" s="137">
        <v>45139.0</v>
      </c>
      <c r="T238" s="137">
        <v>45987.0</v>
      </c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-2186.0</v>
      </c>
      <c r="G239" s="136">
        <v>0.0</v>
      </c>
      <c r="H239" s="136">
        <v>125.0</v>
      </c>
      <c r="I239" s="136">
        <v>150.0</v>
      </c>
      <c r="J239" s="136">
        <v>0.0</v>
      </c>
      <c r="K239" s="136">
        <v>0.0</v>
      </c>
      <c r="L239" s="136">
        <v>723.0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1125.0</v>
      </c>
      <c r="F240" s="136">
        <v>842.0</v>
      </c>
      <c r="G240" s="136">
        <v>0.0</v>
      </c>
      <c r="H240" s="136">
        <v>225.0</v>
      </c>
      <c r="I240" s="136">
        <v>4.0</v>
      </c>
      <c r="J240" s="136">
        <v>0.0</v>
      </c>
      <c r="K240" s="136">
        <v>0.0</v>
      </c>
      <c r="L240" s="136">
        <v>896.0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/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0.0</v>
      </c>
      <c r="G241" s="136">
        <v>0.0</v>
      </c>
      <c r="H241" s="136">
        <v>225.0</v>
      </c>
      <c r="I241" s="136">
        <v>108.0</v>
      </c>
      <c r="J241" s="136">
        <v>0.0</v>
      </c>
      <c r="K241" s="136">
        <v>0.0</v>
      </c>
      <c r="L241" s="136">
        <v>917.0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-1.7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-150.0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/>
    </row>
    <row r="247" ht="18.0" customHeight="1">
      <c r="A247" s="138" t="s">
        <v>244</v>
      </c>
      <c r="B247" s="138"/>
      <c r="C247" s="138" t="s">
        <v>280</v>
      </c>
      <c r="D247" s="139">
        <v>40350.0</v>
      </c>
      <c r="E247" s="140">
        <v>53259.3</v>
      </c>
      <c r="F247" s="140">
        <v>5421.12</v>
      </c>
      <c r="G247" s="140">
        <v>0.0</v>
      </c>
      <c r="H247" s="140">
        <v>9095.8</v>
      </c>
      <c r="I247" s="140">
        <v>36131.5</v>
      </c>
      <c r="J247" s="140">
        <v>0.0</v>
      </c>
      <c r="K247" s="140">
        <v>0.0</v>
      </c>
      <c r="L247" s="140">
        <v>7942.0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215.0</v>
      </c>
      <c r="F249" s="136">
        <v>101.67</v>
      </c>
      <c r="G249" s="136">
        <v>0.0</v>
      </c>
      <c r="H249" s="136">
        <v>0.0</v>
      </c>
      <c r="I249" s="136">
        <v>215.0</v>
      </c>
      <c r="J249" s="136">
        <v>0.0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32.36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46081.0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32.36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32.36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46112.0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163.41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32.36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32.36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32.36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46112.0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-25.05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32.36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32.36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24.04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32.36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39</v>
      </c>
      <c r="D262" s="135">
        <v>675.0</v>
      </c>
      <c r="E262" s="136">
        <v>775.0</v>
      </c>
      <c r="F262" s="136">
        <v>-32.72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650.0</v>
      </c>
      <c r="F263" s="136">
        <v>64.86</v>
      </c>
      <c r="G263" s="136">
        <v>0.0</v>
      </c>
      <c r="H263" s="136">
        <v>0.0</v>
      </c>
      <c r="I263" s="136">
        <v>650.0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/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18.59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46082.0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-4.47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292.0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0.0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46038.0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323.0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45930.0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575.0</v>
      </c>
      <c r="F269" s="136">
        <v>0.0</v>
      </c>
      <c r="G269" s="136">
        <v>0.0</v>
      </c>
      <c r="H269" s="136">
        <v>0.0</v>
      </c>
      <c r="I269" s="136">
        <v>575.0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32.36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26.93</v>
      </c>
      <c r="G271" s="136">
        <v>0.0</v>
      </c>
      <c r="H271" s="136">
        <v>0.0</v>
      </c>
      <c r="I271" s="136">
        <v>56.0</v>
      </c>
      <c r="J271" s="136">
        <v>694.0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46029.0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32.36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45961.0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-549.64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103.01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32.36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750.0</v>
      </c>
      <c r="F276" s="136">
        <v>32.36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0.0</v>
      </c>
      <c r="S276" s="137">
        <v>44742.0</v>
      </c>
      <c r="T276" s="137">
        <v>46203.0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0.0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32.36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45929.0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21565.0</v>
      </c>
      <c r="F279" s="140">
        <v>958.67</v>
      </c>
      <c r="G279" s="140">
        <v>0.0</v>
      </c>
      <c r="H279" s="140">
        <v>0.0</v>
      </c>
      <c r="I279" s="140">
        <v>18769.0</v>
      </c>
      <c r="J279" s="140">
        <v>2746.0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0.0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291</v>
      </c>
      <c r="D281" s="139">
        <v>229909.0</v>
      </c>
      <c r="E281" s="140">
        <v>206448.8</v>
      </c>
      <c r="F281" s="140">
        <v>29189.45</v>
      </c>
      <c r="G281" s="140">
        <v>0.0</v>
      </c>
      <c r="H281" s="140">
        <v>9225.8</v>
      </c>
      <c r="I281" s="140">
        <v>162373.5</v>
      </c>
      <c r="J281" s="140">
        <v>3674.0</v>
      </c>
      <c r="K281" s="140">
        <v>3491.0</v>
      </c>
      <c r="L281" s="140">
        <v>16216.0</v>
      </c>
      <c r="M281" s="140">
        <v>1958.0</v>
      </c>
      <c r="N281" s="140">
        <v>9120.0</v>
      </c>
      <c r="O281" s="140">
        <v>325.0</v>
      </c>
      <c r="P281" s="140">
        <v>25.0</v>
      </c>
      <c r="Q281" s="140">
        <v>15.0</v>
      </c>
      <c r="R281" s="140">
        <v>25.5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0.9177176471</v>
      </c>
      <c r="D282" s="145">
        <f t="shared" ref="D282:D284" si="2">IFERROR(
  SUMPRODUCT((A$285:A$295=A282)*D$285:D$295*I$285:I$295) /
  SUMPRODUCT((A$285:A$295=A282)*I$285:I$295),
0)</f>
        <v>0.9078692337</v>
      </c>
      <c r="E282" s="146">
        <f t="shared" ref="E282:E284" si="3">IFERROR(
  SUMPRODUCT((A$285:A$295=A282)*E$285:E$295),
0)
</f>
        <v>5942</v>
      </c>
      <c r="F282" s="147">
        <f t="shared" ref="F282:F284" si="4">IFERROR(
  SUMPRODUCT((A$285:A$295=A282)*F$285:F$295),
0)
</f>
        <v>8496.49</v>
      </c>
      <c r="G282" s="148">
        <f t="shared" ref="G282:G284" si="5">IFERROR(
  SUMPRODUCT((A$285:A$295=A282)*G$285:G$295),
0)
</f>
        <v>0</v>
      </c>
      <c r="H282" s="149">
        <f t="shared" ref="H282:H284" si="6">IFERROR(
  SUMPRODUCT((A$285:A$295=A282)*H$285:H$295*I$285:I$295) /
  SUMPRODUCT((A$285:A$295=A282)*I$285:I$295),
0)</f>
        <v>0.6220588235</v>
      </c>
    </row>
    <row r="283" ht="18.0" customHeight="1">
      <c r="A283" s="152" t="s">
        <v>251</v>
      </c>
      <c r="B283" s="153"/>
      <c r="C283" s="154">
        <f t="shared" si="1"/>
        <v>0.706</v>
      </c>
      <c r="D283" s="155">
        <f t="shared" si="2"/>
        <v>0.8107559546</v>
      </c>
      <c r="E283" s="156">
        <f t="shared" si="3"/>
        <v>5893.28</v>
      </c>
      <c r="F283" s="157">
        <f t="shared" si="4"/>
        <v>9600.13</v>
      </c>
      <c r="G283" s="158">
        <f t="shared" si="5"/>
        <v>1</v>
      </c>
      <c r="H283" s="149">
        <f t="shared" si="6"/>
        <v>0.6944444444</v>
      </c>
    </row>
    <row r="284" ht="18.0" customHeight="1">
      <c r="A284" s="160" t="s">
        <v>252</v>
      </c>
      <c r="B284" s="161"/>
      <c r="C284" s="162">
        <f t="shared" si="1"/>
        <v>0.8928392857</v>
      </c>
      <c r="D284" s="163">
        <f t="shared" si="2"/>
        <v>0.9211871529</v>
      </c>
      <c r="E284" s="164">
        <f t="shared" si="3"/>
        <v>6956.83</v>
      </c>
      <c r="F284" s="165">
        <f t="shared" si="4"/>
        <v>11092.83</v>
      </c>
      <c r="G284" s="166">
        <f t="shared" si="5"/>
        <v>1</v>
      </c>
      <c r="H284" s="149">
        <f t="shared" si="6"/>
        <v>0.4886054422</v>
      </c>
    </row>
    <row r="285" ht="18.0" customHeight="1">
      <c r="A285" s="169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"),1.0)</f>
        <v>1</v>
      </c>
      <c r="D285" s="172">
        <f t="array" ref="D285">SUM(MAP(E11:E14, F11:F14, LAMBDA(e,f, MAX(0, e-f)))) / SUM(E11:E14)
</f>
        <v>1.002038217</v>
      </c>
      <c r="E285" s="173">
        <f t="array" ref="E285">SUM(MAP(E$11:E$14, F$11:F$14, LAMBDA(e,f, MIN(e, f))))
</f>
        <v>-8</v>
      </c>
      <c r="F285" s="174">
        <f>F15</f>
        <v>-8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"),0.75)</f>
        <v>0.75</v>
      </c>
      <c r="I285" s="175">
        <v>4.0</v>
      </c>
      <c r="J285" s="177">
        <v>46340.0</v>
      </c>
    </row>
    <row r="286" ht="18.0" customHeight="1">
      <c r="A286" s="169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0.9599315068</v>
      </c>
      <c r="E286" s="173">
        <f t="array" ref="E286">SUM(MAP(E$17:E$22, F$17:F$22, LAMBDA(e,f, MIN(e, f))))
</f>
        <v>146.25</v>
      </c>
      <c r="F286" s="174">
        <f>F23</f>
        <v>146.25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"),0.5)</f>
        <v>0.5</v>
      </c>
      <c r="I286" s="175">
        <v>6.0</v>
      </c>
      <c r="J286" s="179" t="s">
        <v>255</v>
      </c>
    </row>
    <row r="287" ht="18.0" customHeight="1">
      <c r="A287" s="169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"),0.8)</f>
        <v>0.8</v>
      </c>
      <c r="D287" s="172">
        <f t="array" ref="D287">SUM(MAP(E25:E29, F25:F29, LAMBDA(e, f, MAX(0, e - f)))) / SUM(E25:E29)</f>
        <v>0.7692307692</v>
      </c>
      <c r="E287" s="173">
        <f t="array" ref="E287">SUM(MAP(E$25:E$29, F$25:F$29, LAMBDA(e,f, MIN(e, f))))
</f>
        <v>675</v>
      </c>
      <c r="F287" s="174">
        <f>F30</f>
        <v>848.75</v>
      </c>
      <c r="G287" s="175">
        <f>IFERROR(__xludf.DUMMYFUNCTION("SUMPRODUCT(--(C25:C29&lt;&gt;""Vacant-Unrented""),--(C25:C29&lt;&gt;""Vacant-Rented""),--((N(W25:W29)&gt;N(X25:X29))+N(REGEXMATCH(LOWER(C25:C29),""evict""))&gt;0))"),0.0)</f>
        <v>0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"),0.75)</f>
        <v>0.75</v>
      </c>
      <c r="I287" s="175">
        <v>5.0</v>
      </c>
      <c r="J287" s="179" t="s">
        <v>257</v>
      </c>
    </row>
    <row r="288" ht="18.0" customHeight="1">
      <c r="A288" s="169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1.084285714</v>
      </c>
      <c r="E288" s="173">
        <f t="array" ref="E288">SUM(MAP(E$32:E$33, F$32:F$33, LAMBDA(e,f, MIN(e, f))))
</f>
        <v>-118</v>
      </c>
      <c r="F288" s="174">
        <f>F34</f>
        <v>-118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  <c r="J288" s="179" t="s">
        <v>259</v>
      </c>
    </row>
    <row r="289" ht="18.0" customHeight="1">
      <c r="A289" s="169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1</v>
      </c>
      <c r="E289" s="173">
        <f t="array" ref="E289">SUM(MAP(E$36:E$37, F$36:F$37, LAMBDA(e,f, MIN(e, f))))
</f>
        <v>0</v>
      </c>
      <c r="F289" s="174">
        <f>F38</f>
        <v>0</v>
      </c>
      <c r="G289" s="175">
        <f>IFERROR(__xludf.DUMMYFUNCTION("SUMPRODUCT(--(C40:C75&lt;&gt;""Vacant-Unrented""),--(C40:C75&lt;&gt;""Vacant-Rented""),--((N(W40:W75)&gt;N(X40:X75))+N(REGEXMATCH(LOWER(C40:C75),""evict""))&gt;0))"),0.0)</f>
        <v>0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  <c r="J289" s="179" t="s">
        <v>261</v>
      </c>
    </row>
    <row r="290" ht="18.0" customHeight="1">
      <c r="A290" s="180" t="s">
        <v>250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0.8515464774</v>
      </c>
      <c r="E290" s="173">
        <f t="array" ref="E290">SUM(MAP(E$40:E$75, F$40:F$75, LAMBDA(e,f, MIN(e, f))))
</f>
        <v>4288.08</v>
      </c>
      <c r="F290" s="174">
        <f>F76</f>
        <v>6668.82</v>
      </c>
      <c r="G290" s="175">
        <f>IFERROR(__xludf.DUMMYFUNCTION("SUMPRODUCT(--(C40:C75&lt;&gt;""Vacant-Unrented""),--(C40:C75&lt;&gt;""Vacant-Rented""),--((N(W40:W75)&gt;N(X40:X75))+N(REGEXMATCH(LOWER(C40:C75),""evict""))&gt;0))"),0.0)</f>
        <v>0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"),0.53125)</f>
        <v>0.53125</v>
      </c>
      <c r="I290" s="175">
        <v>36.0</v>
      </c>
      <c r="J290" s="179" t="s">
        <v>263</v>
      </c>
    </row>
    <row r="291" ht="18.0" customHeight="1">
      <c r="A291" s="169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"),0.706)</f>
        <v>0.706</v>
      </c>
      <c r="D291" s="172">
        <f t="array" ref="D291">SUM(MAP(E79:E129, F79:F129, LAMBDA(e,f, MAX(0, e-f)))) / SUM(E79:E129)
</f>
        <v>0.8107559546</v>
      </c>
      <c r="E291" s="173">
        <f t="array" ref="E291">SUM(MAP(E$78:E$128, F$78:F$128, LAMBDA(e,f, MIN(e, f))))
</f>
        <v>5893.28</v>
      </c>
      <c r="F291" s="174">
        <f>F129</f>
        <v>9600.13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"),1.0)</f>
        <v>1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"),0.6944444444444444)</f>
        <v>0.6944444444</v>
      </c>
      <c r="I291" s="175">
        <v>51.0</v>
      </c>
      <c r="J291" s="179" t="s">
        <v>265</v>
      </c>
    </row>
    <row r="292" ht="18.0" customHeight="1">
      <c r="A292" s="169" t="s">
        <v>252</v>
      </c>
      <c r="B292" s="170" t="s">
        <v>266</v>
      </c>
      <c r="C292" s="171">
        <f>IFERROR(__xludf.DUMMYFUNCTION("IF(ISNUMBER(SEARCH(""%"",C171)), VALUE(REGEXREPLACE(C171,""[^0-9.]"",""""))/100, VALUE(REGEXREPLACE(C171,""[^0-9.]"","""")))
"),0.875)</f>
        <v>0.875</v>
      </c>
      <c r="D292" s="172">
        <f t="array" ref="D292">SUM(MAP(E131:E170, F131:F170, LAMBDA(e,f, MAX(0, e-f)))) / SUM(E131:E170)
</f>
        <v>0.8731374617</v>
      </c>
      <c r="E292" s="173">
        <f t="array" ref="E292">SUM(MAP(E$131:E$170, F$131:F$170, LAMBDA(e,f, MIN(e, f))))
</f>
        <v>3909.84</v>
      </c>
      <c r="F292" s="174">
        <f>F171</f>
        <v>4072.34</v>
      </c>
      <c r="G292" s="175">
        <f>IFERROR(__xludf.DUMMYFUNCTION("SUMPRODUCT(--(C131:C170&lt;&gt;""Vacant-Unrented""),--(C131:C170&lt;&gt;""Vacant-Rented""),--((N(W131:W170)&gt;N(X131:X170))+N(REGEXMATCH(LOWER(C131:C170),""evict""))&gt;0))"),0.0)</f>
        <v>0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"),0.37142857142857144)</f>
        <v>0.3714285714</v>
      </c>
      <c r="I292" s="175">
        <v>40.0</v>
      </c>
      <c r="J292" s="179" t="s">
        <v>267</v>
      </c>
    </row>
    <row r="293" ht="18.0" customHeight="1">
      <c r="A293" s="169" t="s">
        <v>252</v>
      </c>
      <c r="B293" s="170" t="s">
        <v>268</v>
      </c>
      <c r="C293" s="171">
        <f>IFERROR(__xludf.DUMMYFUNCTION("IF(ISNUMBER(SEARCH(""%"",C195)), VALUE(REGEXREPLACE(C195,""[^0-9.]"",""""))/100, VALUE(REGEXREPLACE(C195,""[^0-9.]"","""")))
"),0.909)</f>
        <v>0.909</v>
      </c>
      <c r="D293" s="172">
        <f t="array" ref="D293">SUM(MAP(E174:E195, F174:F195, LAMBDA(e,f, MAX(0, e-f)))) / SUM(E174:E195)
</f>
        <v>0.9192616362</v>
      </c>
      <c r="E293" s="173">
        <f t="array" ref="E293">SUM(MAP(E$173:E$194, F$173:F$194, LAMBDA(e,f, MIN(e, f))))
</f>
        <v>941.87</v>
      </c>
      <c r="F293" s="174">
        <f>F195</f>
        <v>1599.37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"),0.6)</f>
        <v>0.6</v>
      </c>
      <c r="I293" s="175">
        <v>22.0</v>
      </c>
      <c r="J293" s="179" t="s">
        <v>269</v>
      </c>
    </row>
    <row r="294" ht="18.0" customHeight="1">
      <c r="A294" s="169" t="s">
        <v>252</v>
      </c>
      <c r="B294" s="170" t="s">
        <v>270</v>
      </c>
      <c r="C294" s="171">
        <f>IFERROR(__xludf.DUMMYFUNCTION("IF(ISNUMBER(SEARCH(""%"",C247)), VALUE(REGEXREPLACE(C247,""[^0-9.]"",""""))/100, VALUE(REGEXREPLACE(C247,""[^0-9.]"","""")))
"),0.9)</f>
        <v>0.9</v>
      </c>
      <c r="D294" s="172">
        <f t="array" ref="D294">SUM(MAP(E197:E246, F197:F246, LAMBDA(e,f, MAX(0, e-f)))) / SUM(E197:E246)
</f>
        <v>0.9604741332</v>
      </c>
      <c r="E294" s="173">
        <f t="array" ref="E294">SUM(MAP(E$197:E$246, F$197:F$246, LAMBDA(e,f, MIN(e, f))))
</f>
        <v>2105.12</v>
      </c>
      <c r="F294" s="174">
        <f>F247</f>
        <v>5421.12</v>
      </c>
      <c r="G294" s="175">
        <f>IFERROR(__xludf.DUMMYFUNCTION("SUMPRODUCT(--(C197:C246&lt;&gt;""Vacant-Unrented""),--(C197:C246&lt;&gt;""Vacant-Rented""),--((N(W197:W246)&gt;N(X197:X246))+N(REGEXMATCH(LOWER(C197:C246),""evict""))&gt;0))"),1.0)</f>
        <v>1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"),0.5333333333333333)</f>
        <v>0.5333333333</v>
      </c>
      <c r="I294" s="175">
        <v>50.0</v>
      </c>
      <c r="J294" s="179" t="s">
        <v>271</v>
      </c>
    </row>
    <row r="295" ht="18.0" customHeight="1">
      <c r="A295" s="180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0.9576914832</v>
      </c>
      <c r="E295" s="183">
        <f t="array" ref="E295">SUM(MAP(E$249:E$278, F$249:F$278, LAMBDA(e,f, MIN(e, f))))
</f>
        <v>958.67</v>
      </c>
      <c r="F295" s="184">
        <f>F279</f>
        <v>958.67</v>
      </c>
      <c r="G295" s="185">
        <f>IFERROR(__xludf.DUMMYFUNCTION("SUMPRODUCT(--(C249:C278&lt;&gt;""Vacant-Unrented""),--(C249:C278&lt;&gt;""Vacant-Rented""),--((N(W249:W278)&gt;N(X249:X278))+N(REGEXMATCH(LOWER(C249:C278),""evict""))&gt;0))"),0.0)</f>
        <v>0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"),0.6666666666666666)</f>
        <v>0.6666666667</v>
      </c>
      <c r="I295" s="175">
        <v>30.0</v>
      </c>
      <c r="J295" s="179" t="s">
        <v>273</v>
      </c>
    </row>
    <row r="296" ht="18.0" customHeight="1">
      <c r="A296" s="186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0)"),0.8644296577946768)</f>
        <v>0.8644296578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"),0.9089744769647494)</f>
        <v>0.908974477</v>
      </c>
      <c r="E296" s="190">
        <f t="shared" ref="E296:G296" si="7">sum(E285:E295)</f>
        <v>18792.11</v>
      </c>
      <c r="F296" s="190">
        <f t="shared" si="7"/>
        <v>29189.45</v>
      </c>
      <c r="G296" s="191">
        <f t="shared" si="7"/>
        <v>2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"),0.5747663551401869)</f>
        <v>0.5747663551</v>
      </c>
      <c r="I296" s="193"/>
      <c r="J296" s="194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5"/>
    <col customWidth="1" min="7" max="7" width="31.25"/>
    <col customWidth="1" min="8" max="8" width="111.13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28" t="s">
        <v>10</v>
      </c>
    </row>
    <row r="2" ht="18.0" customHeight="1">
      <c r="A2" s="130" t="s">
        <v>292</v>
      </c>
    </row>
    <row r="3" ht="18.0" customHeight="1">
      <c r="A3" s="130"/>
    </row>
    <row r="4" ht="18.0" customHeight="1">
      <c r="A4" s="131" t="s">
        <v>293</v>
      </c>
    </row>
    <row r="5" ht="18.0" customHeight="1">
      <c r="A5" s="131" t="s">
        <v>294</v>
      </c>
    </row>
    <row r="6" ht="18.0" customHeight="1">
      <c r="A6" s="131" t="s">
        <v>295</v>
      </c>
    </row>
    <row r="7" ht="18.0" customHeight="1">
      <c r="A7" s="131" t="s">
        <v>296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0.0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-8.0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39</v>
      </c>
      <c r="D14" s="135">
        <v>950.0</v>
      </c>
      <c r="E14" s="136">
        <v>1000.0</v>
      </c>
      <c r="F14" s="136">
        <v>0.0</v>
      </c>
      <c r="G14" s="136">
        <v>0.0</v>
      </c>
      <c r="H14" s="136">
        <v>0.0</v>
      </c>
      <c r="I14" s="136">
        <v>1000.0</v>
      </c>
      <c r="J14" s="136">
        <v>0.0</v>
      </c>
      <c r="K14" s="136">
        <v>0.0</v>
      </c>
      <c r="L14" s="136">
        <v>0.0</v>
      </c>
      <c r="M14" s="136">
        <v>0.0</v>
      </c>
      <c r="N14" s="136">
        <v>0.0</v>
      </c>
      <c r="O14" s="136">
        <v>0.0</v>
      </c>
      <c r="P14" s="136">
        <v>0.0</v>
      </c>
      <c r="Q14" s="136">
        <v>0.0</v>
      </c>
      <c r="R14" s="136">
        <v>0.0</v>
      </c>
      <c r="S14" s="137">
        <v>45366.0</v>
      </c>
      <c r="T14" s="137">
        <v>46095.0</v>
      </c>
    </row>
    <row r="15" ht="18.0" customHeight="1">
      <c r="A15" s="138" t="s">
        <v>43</v>
      </c>
      <c r="B15" s="138"/>
      <c r="C15" s="138" t="s">
        <v>44</v>
      </c>
      <c r="D15" s="139">
        <v>3800.0</v>
      </c>
      <c r="E15" s="140">
        <v>3925.0</v>
      </c>
      <c r="F15" s="140">
        <v>-8.0</v>
      </c>
      <c r="G15" s="140">
        <v>0.0</v>
      </c>
      <c r="H15" s="140">
        <v>0.0</v>
      </c>
      <c r="I15" s="140">
        <v>3532.0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46443.0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925.0</v>
      </c>
      <c r="F22" s="136">
        <v>216.25</v>
      </c>
      <c r="G22" s="136">
        <v>0.0</v>
      </c>
      <c r="H22" s="136">
        <v>0.0</v>
      </c>
      <c r="I22" s="136">
        <v>925.0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0.0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3650.0</v>
      </c>
      <c r="F23" s="140">
        <v>216.25</v>
      </c>
      <c r="G23" s="140">
        <v>0.0</v>
      </c>
      <c r="H23" s="140">
        <v>0.0</v>
      </c>
      <c r="I23" s="140">
        <v>3065.0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25.0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47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-50.0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39</v>
      </c>
      <c r="D28" s="135">
        <v>621.0</v>
      </c>
      <c r="E28" s="136">
        <v>725.0</v>
      </c>
      <c r="F28" s="136">
        <v>318.75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46066.0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268.75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750.0</v>
      </c>
      <c r="F32" s="136">
        <v>-118.0</v>
      </c>
      <c r="G32" s="136">
        <v>0.0</v>
      </c>
      <c r="H32" s="136">
        <v>0.0</v>
      </c>
      <c r="I32" s="136">
        <v>750.0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0.0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1400.0</v>
      </c>
      <c r="F34" s="140">
        <v>-118.0</v>
      </c>
      <c r="G34" s="140">
        <v>0.0</v>
      </c>
      <c r="H34" s="140">
        <v>0.0</v>
      </c>
      <c r="I34" s="140">
        <v>1400.0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0.0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45991.0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46035.0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45108.0</v>
      </c>
      <c r="T44" s="137"/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-925.0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0.0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46009.0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45954.0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0.0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45990.0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0.0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800.0</v>
      </c>
      <c r="F54" s="136">
        <v>0.0</v>
      </c>
      <c r="G54" s="136">
        <v>0.0</v>
      </c>
      <c r="H54" s="136">
        <v>0.0</v>
      </c>
      <c r="I54" s="136">
        <v>800.0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45946.0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0.0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46081.0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750.0</v>
      </c>
      <c r="F58" s="136">
        <v>0.0</v>
      </c>
      <c r="G58" s="136">
        <v>0.0</v>
      </c>
      <c r="H58" s="136">
        <v>0.0</v>
      </c>
      <c r="I58" s="136">
        <v>750.0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46022.0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1025.0</v>
      </c>
      <c r="F60" s="136">
        <v>240.83</v>
      </c>
      <c r="G60" s="136">
        <v>0.0</v>
      </c>
      <c r="H60" s="136">
        <v>0.0</v>
      </c>
      <c r="I60" s="136">
        <v>1025.0</v>
      </c>
      <c r="J60" s="136">
        <v>0.0</v>
      </c>
      <c r="K60" s="136">
        <v>0.0</v>
      </c>
      <c r="L60" s="136">
        <v>0.0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49.75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39</v>
      </c>
      <c r="D65" s="135">
        <v>700.0</v>
      </c>
      <c r="E65" s="136">
        <v>825.0</v>
      </c>
      <c r="F65" s="136">
        <v>1261.25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46077.0</v>
      </c>
    </row>
    <row r="68" ht="18.0" customHeight="1">
      <c r="A68" s="134" t="s">
        <v>91</v>
      </c>
      <c r="B68" s="134" t="s">
        <v>38</v>
      </c>
      <c r="C68" s="134" t="s">
        <v>39</v>
      </c>
      <c r="D68" s="135">
        <v>950.0</v>
      </c>
      <c r="E68" s="136">
        <v>800.0</v>
      </c>
      <c r="F68" s="136">
        <v>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896.25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750.0</v>
      </c>
      <c r="F70" s="136">
        <v>0.0</v>
      </c>
      <c r="G70" s="136">
        <v>0.0</v>
      </c>
      <c r="H70" s="136">
        <v>0.0</v>
      </c>
      <c r="I70" s="136">
        <v>750.0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1025.0</v>
      </c>
      <c r="F72" s="136">
        <v>3069.49</v>
      </c>
      <c r="G72" s="136">
        <v>0.0</v>
      </c>
      <c r="H72" s="136">
        <v>0.0</v>
      </c>
      <c r="I72" s="136">
        <v>1025.0</v>
      </c>
      <c r="J72" s="136">
        <v>0.0</v>
      </c>
      <c r="K72" s="136">
        <v>0.0</v>
      </c>
      <c r="L72" s="136">
        <v>0.0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0.0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46094.0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28885.0</v>
      </c>
      <c r="F76" s="140">
        <v>4592.57</v>
      </c>
      <c r="G76" s="140">
        <v>0.0</v>
      </c>
      <c r="H76" s="140">
        <v>0.0</v>
      </c>
      <c r="I76" s="140">
        <v>28820.0</v>
      </c>
      <c r="J76" s="140">
        <v>0.0</v>
      </c>
      <c r="K76" s="140">
        <v>0.0</v>
      </c>
      <c r="L76" s="140">
        <v>0.0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900.0</v>
      </c>
      <c r="F78" s="136">
        <v>0.0</v>
      </c>
      <c r="G78" s="136">
        <v>0.0</v>
      </c>
      <c r="H78" s="136">
        <v>0.0</v>
      </c>
      <c r="I78" s="136">
        <v>44.0</v>
      </c>
      <c r="J78" s="136">
        <v>0.0</v>
      </c>
      <c r="K78" s="136">
        <v>0.0</v>
      </c>
      <c r="L78" s="136">
        <v>856.0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47</v>
      </c>
      <c r="D79" s="135">
        <v>1400.0</v>
      </c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7"/>
      <c r="T79" s="137"/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107</v>
      </c>
      <c r="D81" s="135">
        <v>1400.0</v>
      </c>
      <c r="E81" s="136">
        <v>1150.0</v>
      </c>
      <c r="F81" s="136">
        <v>100.0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46073.0</v>
      </c>
    </row>
    <row r="82" ht="18.0" customHeight="1">
      <c r="A82" s="134" t="s">
        <v>108</v>
      </c>
      <c r="B82" s="134" t="s">
        <v>104</v>
      </c>
      <c r="C82" s="134" t="s">
        <v>39</v>
      </c>
      <c r="D82" s="135">
        <v>1400.0</v>
      </c>
      <c r="E82" s="136">
        <v>1250.0</v>
      </c>
      <c r="F82" s="136">
        <v>1.74</v>
      </c>
      <c r="G82" s="136">
        <v>0.0</v>
      </c>
      <c r="H82" s="136">
        <v>0.0</v>
      </c>
      <c r="I82" s="136">
        <v>1250.0</v>
      </c>
      <c r="J82" s="136">
        <v>0.0</v>
      </c>
      <c r="K82" s="136">
        <v>0.0</v>
      </c>
      <c r="L82" s="136">
        <v>0.0</v>
      </c>
      <c r="M82" s="136">
        <v>0.0</v>
      </c>
      <c r="N82" s="136">
        <v>0.0</v>
      </c>
      <c r="O82" s="136">
        <v>0.0</v>
      </c>
      <c r="P82" s="136">
        <v>0.0</v>
      </c>
      <c r="Q82" s="136">
        <v>0.0</v>
      </c>
      <c r="R82" s="136">
        <v>0.0</v>
      </c>
      <c r="S82" s="137">
        <v>45221.0</v>
      </c>
      <c r="T82" s="137">
        <v>45951.0</v>
      </c>
    </row>
    <row r="83" ht="18.0" customHeight="1">
      <c r="A83" s="134" t="s">
        <v>109</v>
      </c>
      <c r="B83" s="134" t="s">
        <v>38</v>
      </c>
      <c r="C83" s="134" t="s">
        <v>297</v>
      </c>
      <c r="D83" s="135">
        <v>1400.0</v>
      </c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7"/>
      <c r="T83" s="137"/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-10.01</v>
      </c>
      <c r="G84" s="136">
        <v>0.0</v>
      </c>
      <c r="H84" s="136">
        <v>0.0</v>
      </c>
      <c r="I84" s="136">
        <v>61.0</v>
      </c>
      <c r="J84" s="136">
        <v>0.0</v>
      </c>
      <c r="K84" s="136">
        <v>0.0</v>
      </c>
      <c r="L84" s="136">
        <v>839.0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47</v>
      </c>
      <c r="D86" s="135">
        <v>1400.0</v>
      </c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7"/>
      <c r="T86" s="137"/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100.0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1435.0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-1100.0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47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39</v>
      </c>
      <c r="D93" s="135">
        <v>1400.0</v>
      </c>
      <c r="E93" s="136">
        <v>1150.0</v>
      </c>
      <c r="F93" s="136">
        <v>35.0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900.0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20.0</v>
      </c>
      <c r="G95" s="136">
        <v>0.0</v>
      </c>
      <c r="H95" s="136">
        <v>0.0</v>
      </c>
      <c r="I95" s="136">
        <v>280.0</v>
      </c>
      <c r="J95" s="136">
        <v>0.0</v>
      </c>
      <c r="K95" s="136">
        <v>0.0</v>
      </c>
      <c r="L95" s="136">
        <v>620.0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115</v>
      </c>
      <c r="C96" s="134" t="s">
        <v>47</v>
      </c>
      <c r="D96" s="135">
        <v>1400.0</v>
      </c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7"/>
      <c r="T96" s="137"/>
    </row>
    <row r="97" ht="18.0" customHeight="1">
      <c r="A97" s="134" t="s">
        <v>124</v>
      </c>
      <c r="B97" s="134" t="s">
        <v>115</v>
      </c>
      <c r="C97" s="134" t="s">
        <v>178</v>
      </c>
      <c r="D97" s="135">
        <v>1400.0</v>
      </c>
      <c r="E97" s="136">
        <v>1300.0</v>
      </c>
      <c r="F97" s="136">
        <v>2635.0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-25.0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0.0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>
        <v>46356.0</v>
      </c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0.0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47</v>
      </c>
      <c r="D108" s="135">
        <v>1400.0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7"/>
      <c r="T108" s="137"/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47</v>
      </c>
      <c r="D113" s="135">
        <v>1400.0</v>
      </c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7"/>
      <c r="T113" s="137"/>
    </row>
    <row r="114" ht="18.0" customHeight="1">
      <c r="A114" s="134" t="s">
        <v>141</v>
      </c>
      <c r="B114" s="134" t="s">
        <v>38</v>
      </c>
      <c r="C114" s="134" t="s">
        <v>178</v>
      </c>
      <c r="D114" s="135">
        <v>1400.0</v>
      </c>
      <c r="E114" s="136">
        <v>900.0</v>
      </c>
      <c r="F114" s="136">
        <v>2700.0</v>
      </c>
      <c r="G114" s="136">
        <v>0.0</v>
      </c>
      <c r="H114" s="136">
        <v>0.0</v>
      </c>
      <c r="I114" s="136">
        <v>0.0</v>
      </c>
      <c r="J114" s="136">
        <v>0.0</v>
      </c>
      <c r="K114" s="136">
        <v>0.0</v>
      </c>
      <c r="L114" s="136">
        <v>900.0</v>
      </c>
      <c r="M114" s="136">
        <v>0.0</v>
      </c>
      <c r="N114" s="136">
        <v>0.0</v>
      </c>
      <c r="O114" s="136">
        <v>0.0</v>
      </c>
      <c r="P114" s="136">
        <v>0.0</v>
      </c>
      <c r="Q114" s="136">
        <v>0.0</v>
      </c>
      <c r="R114" s="136">
        <v>0.0</v>
      </c>
      <c r="S114" s="137">
        <v>45231.0</v>
      </c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0.0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44866.0</v>
      </c>
      <c r="T115" s="137"/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-8.0</v>
      </c>
      <c r="G116" s="136">
        <v>0.0</v>
      </c>
      <c r="H116" s="136">
        <v>0.0</v>
      </c>
      <c r="I116" s="136">
        <v>89.0</v>
      </c>
      <c r="J116" s="136">
        <v>0.0</v>
      </c>
      <c r="K116" s="136">
        <v>0.0</v>
      </c>
      <c r="L116" s="136">
        <v>886.0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45992.0</v>
      </c>
      <c r="T116" s="137">
        <v>46356.0</v>
      </c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-541.65</v>
      </c>
      <c r="G118" s="136">
        <v>0.0</v>
      </c>
      <c r="H118" s="136">
        <v>0.0</v>
      </c>
      <c r="I118" s="136">
        <v>817.0</v>
      </c>
      <c r="J118" s="136">
        <v>0.0</v>
      </c>
      <c r="K118" s="136">
        <v>0.0</v>
      </c>
      <c r="L118" s="136">
        <v>533.0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-5.0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0.0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1350.0</v>
      </c>
      <c r="F125" s="136">
        <v>-834.0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0.0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39</v>
      </c>
      <c r="D128" s="135">
        <v>1400.0</v>
      </c>
      <c r="E128" s="136">
        <v>1000.0</v>
      </c>
      <c r="F128" s="136">
        <v>0.0</v>
      </c>
      <c r="G128" s="136">
        <v>0.0</v>
      </c>
      <c r="H128" s="136">
        <v>0.0</v>
      </c>
      <c r="I128" s="136">
        <v>1000.0</v>
      </c>
      <c r="J128" s="136">
        <v>0.0</v>
      </c>
      <c r="K128" s="136">
        <v>0.0</v>
      </c>
      <c r="L128" s="136">
        <v>0.0</v>
      </c>
      <c r="M128" s="136">
        <v>0.0</v>
      </c>
      <c r="N128" s="136">
        <v>0.0</v>
      </c>
      <c r="O128" s="136">
        <v>0.0</v>
      </c>
      <c r="P128" s="136">
        <v>0.0</v>
      </c>
      <c r="Q128" s="136">
        <v>0.0</v>
      </c>
      <c r="R128" s="136">
        <v>0.0</v>
      </c>
      <c r="S128" s="137">
        <v>44927.0</v>
      </c>
      <c r="T128" s="137"/>
    </row>
    <row r="129" ht="18.0" customHeight="1">
      <c r="A129" s="138" t="s">
        <v>156</v>
      </c>
      <c r="B129" s="138"/>
      <c r="C129" s="138" t="s">
        <v>289</v>
      </c>
      <c r="D129" s="139">
        <v>71400.0</v>
      </c>
      <c r="E129" s="140">
        <v>41385.0</v>
      </c>
      <c r="F129" s="140">
        <v>5403.08</v>
      </c>
      <c r="G129" s="140">
        <v>0.0</v>
      </c>
      <c r="H129" s="140">
        <v>0.0</v>
      </c>
      <c r="I129" s="140">
        <v>34011.0</v>
      </c>
      <c r="J129" s="140">
        <v>0.0</v>
      </c>
      <c r="K129" s="140">
        <v>0.0</v>
      </c>
      <c r="L129" s="140">
        <v>7374.0</v>
      </c>
      <c r="M129" s="140">
        <v>0.0</v>
      </c>
      <c r="N129" s="140">
        <v>0.0</v>
      </c>
      <c r="O129" s="140">
        <v>0.0</v>
      </c>
      <c r="P129" s="140">
        <v>0.0</v>
      </c>
      <c r="Q129" s="140">
        <v>0.0</v>
      </c>
      <c r="R129" s="140">
        <v>0.0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0.0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0.0</v>
      </c>
      <c r="G132" s="136">
        <v>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900.0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0.0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0.0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-50.0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0.0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47</v>
      </c>
      <c r="D138" s="135">
        <v>800.0</v>
      </c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7"/>
      <c r="T138" s="137"/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50.0</v>
      </c>
      <c r="F139" s="136">
        <v>262.5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/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0.0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1175.0</v>
      </c>
      <c r="F141" s="136">
        <v>0.0</v>
      </c>
      <c r="G141" s="136">
        <v>0.0</v>
      </c>
      <c r="H141" s="136">
        <v>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-40.0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1230.0</v>
      </c>
      <c r="F143" s="136">
        <v>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1150.0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/>
    </row>
    <row r="144" ht="18.0" customHeight="1">
      <c r="A144" s="134" t="s">
        <v>173</v>
      </c>
      <c r="B144" s="134" t="s">
        <v>168</v>
      </c>
      <c r="C144" s="134" t="s">
        <v>47</v>
      </c>
      <c r="D144" s="135">
        <v>1000.0</v>
      </c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7"/>
      <c r="T144" s="137"/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-9.04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46568.0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-10.0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-304.0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0.0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900.0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/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800.0</v>
      </c>
      <c r="F153" s="136">
        <v>-521.0</v>
      </c>
      <c r="G153" s="136">
        <v>0.0</v>
      </c>
      <c r="H153" s="136">
        <v>0.0</v>
      </c>
      <c r="I153" s="136">
        <v>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/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886.0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273.0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/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0.0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/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0.0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47</v>
      </c>
      <c r="D159" s="135">
        <v>850.0</v>
      </c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7"/>
      <c r="T159" s="137"/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86.0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/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-15.0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/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357.0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0.0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0.0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0.0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107</v>
      </c>
      <c r="D166" s="135">
        <v>850.0</v>
      </c>
      <c r="E166" s="136">
        <v>1000.0</v>
      </c>
      <c r="F166" s="136">
        <v>0.0</v>
      </c>
      <c r="G166" s="136">
        <v>0.0</v>
      </c>
      <c r="H166" s="136">
        <v>0.0</v>
      </c>
      <c r="I166" s="136">
        <v>1000.0</v>
      </c>
      <c r="J166" s="136">
        <v>0.0</v>
      </c>
      <c r="K166" s="136">
        <v>0.0</v>
      </c>
      <c r="L166" s="136">
        <v>0.0</v>
      </c>
      <c r="M166" s="136">
        <v>0.0</v>
      </c>
      <c r="N166" s="136">
        <v>0.0</v>
      </c>
      <c r="O166" s="136">
        <v>0.0</v>
      </c>
      <c r="P166" s="136">
        <v>0.0</v>
      </c>
      <c r="Q166" s="136">
        <v>0.0</v>
      </c>
      <c r="R166" s="136">
        <v>0.0</v>
      </c>
      <c r="S166" s="137">
        <v>45786.0</v>
      </c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46387.0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843.0</v>
      </c>
      <c r="F168" s="136">
        <v>327.0</v>
      </c>
      <c r="G168" s="136">
        <v>0.0</v>
      </c>
      <c r="H168" s="136">
        <v>0.0</v>
      </c>
      <c r="I168" s="136">
        <v>406.0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437.0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46023.0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900.0</v>
      </c>
      <c r="F169" s="136">
        <v>0.0</v>
      </c>
      <c r="G169" s="136">
        <v>0.0</v>
      </c>
      <c r="H169" s="136">
        <v>0.0</v>
      </c>
      <c r="I169" s="136">
        <v>900.0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/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202</v>
      </c>
      <c r="D171" s="139">
        <v>34800.0</v>
      </c>
      <c r="E171" s="140">
        <v>30819.5</v>
      </c>
      <c r="F171" s="140">
        <v>2142.46</v>
      </c>
      <c r="G171" s="140">
        <v>0.0</v>
      </c>
      <c r="H171" s="140">
        <v>130.0</v>
      </c>
      <c r="I171" s="140">
        <v>15085.0</v>
      </c>
      <c r="J171" s="140">
        <v>0.0</v>
      </c>
      <c r="K171" s="140">
        <v>3491.0</v>
      </c>
      <c r="L171" s="140">
        <v>900.0</v>
      </c>
      <c r="M171" s="140">
        <v>1958.0</v>
      </c>
      <c r="N171" s="140">
        <v>9120.0</v>
      </c>
      <c r="O171" s="140">
        <v>125.0</v>
      </c>
      <c r="P171" s="140">
        <v>0.0</v>
      </c>
      <c r="Q171" s="140">
        <v>0.0</v>
      </c>
      <c r="R171" s="140">
        <v>10.5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700.0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721.0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0.0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0.0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0.0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850.0</v>
      </c>
      <c r="F190" s="136">
        <v>-203.48</v>
      </c>
      <c r="G190" s="136">
        <v>0.0</v>
      </c>
      <c r="H190" s="136">
        <v>0.0</v>
      </c>
      <c r="I190" s="136">
        <v>850.0</v>
      </c>
      <c r="J190" s="136">
        <v>0.0</v>
      </c>
      <c r="K190" s="136">
        <v>0.0</v>
      </c>
      <c r="L190" s="136">
        <v>0.0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47</v>
      </c>
      <c r="D192" s="135">
        <v>825.0</v>
      </c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7"/>
      <c r="T192" s="137"/>
    </row>
    <row r="193" ht="18.0" customHeight="1">
      <c r="A193" s="134" t="s">
        <v>224</v>
      </c>
      <c r="B193" s="134" t="s">
        <v>56</v>
      </c>
      <c r="C193" s="134" t="s">
        <v>47</v>
      </c>
      <c r="D193" s="135">
        <v>750.0</v>
      </c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7"/>
      <c r="T193" s="137"/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750.0</v>
      </c>
      <c r="F194" s="136">
        <v>-775.0</v>
      </c>
      <c r="G194" s="136">
        <v>0.0</v>
      </c>
      <c r="H194" s="136">
        <v>0.0</v>
      </c>
      <c r="I194" s="136">
        <v>750.0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/>
    </row>
    <row r="195" ht="18.0" customHeight="1">
      <c r="A195" s="138" t="s">
        <v>226</v>
      </c>
      <c r="B195" s="138"/>
      <c r="C195" s="138" t="s">
        <v>227</v>
      </c>
      <c r="D195" s="139">
        <v>17550.0</v>
      </c>
      <c r="E195" s="140">
        <v>16235.0</v>
      </c>
      <c r="F195" s="140">
        <v>442.52</v>
      </c>
      <c r="G195" s="140">
        <v>0.0</v>
      </c>
      <c r="H195" s="140">
        <v>0.0</v>
      </c>
      <c r="I195" s="140">
        <v>16235.0</v>
      </c>
      <c r="J195" s="140">
        <v>0.0</v>
      </c>
      <c r="K195" s="140">
        <v>0.0</v>
      </c>
      <c r="L195" s="140">
        <v>0.0</v>
      </c>
      <c r="M195" s="140">
        <v>0.0</v>
      </c>
      <c r="N195" s="140">
        <v>0.0</v>
      </c>
      <c r="O195" s="140">
        <v>0.0</v>
      </c>
      <c r="P195" s="140">
        <v>0.0</v>
      </c>
      <c r="Q195" s="140">
        <v>0.0</v>
      </c>
      <c r="R195" s="140">
        <v>0.0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-205.0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31.0</v>
      </c>
      <c r="G199" s="136">
        <v>0.0</v>
      </c>
      <c r="H199" s="136">
        <v>225.0</v>
      </c>
      <c r="I199" s="136">
        <v>91.0</v>
      </c>
      <c r="J199" s="136">
        <v>0.0</v>
      </c>
      <c r="K199" s="136">
        <v>0.0</v>
      </c>
      <c r="L199" s="136">
        <v>934.0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1125.0</v>
      </c>
      <c r="F200" s="136">
        <v>73.63</v>
      </c>
      <c r="G200" s="136">
        <v>0.0</v>
      </c>
      <c r="H200" s="136">
        <v>225.0</v>
      </c>
      <c r="I200" s="136">
        <v>900.0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-1158.0</v>
      </c>
      <c r="G202" s="136">
        <v>0.0</v>
      </c>
      <c r="H202" s="136">
        <v>225.0</v>
      </c>
      <c r="I202" s="136">
        <v>135.0</v>
      </c>
      <c r="J202" s="136">
        <v>0.0</v>
      </c>
      <c r="K202" s="136">
        <v>0.0</v>
      </c>
      <c r="L202" s="136">
        <v>890.0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1066.95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1220.0</v>
      </c>
      <c r="F207" s="136">
        <v>-18.26</v>
      </c>
      <c r="G207" s="136">
        <v>0.0</v>
      </c>
      <c r="H207" s="136">
        <v>225.0</v>
      </c>
      <c r="I207" s="136">
        <v>995.0</v>
      </c>
      <c r="J207" s="136">
        <v>0.0</v>
      </c>
      <c r="K207" s="136">
        <v>0.0</v>
      </c>
      <c r="L207" s="136">
        <v>0.0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-46.25</v>
      </c>
      <c r="G208" s="136">
        <v>0.0</v>
      </c>
      <c r="H208" s="136">
        <v>225.0</v>
      </c>
      <c r="I208" s="136">
        <v>120.0</v>
      </c>
      <c r="J208" s="136">
        <v>0.0</v>
      </c>
      <c r="K208" s="136">
        <v>0.0</v>
      </c>
      <c r="L208" s="136">
        <v>905.0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1250.0</v>
      </c>
      <c r="F211" s="136">
        <v>-1.0</v>
      </c>
      <c r="G211" s="136">
        <v>0.0</v>
      </c>
      <c r="H211" s="136">
        <v>225.0</v>
      </c>
      <c r="I211" s="136">
        <v>1025.0</v>
      </c>
      <c r="J211" s="136">
        <v>0.0</v>
      </c>
      <c r="K211" s="136">
        <v>0.0</v>
      </c>
      <c r="L211" s="136">
        <v>0.0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173.95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546.25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46006.0</v>
      </c>
    </row>
    <row r="217" ht="18.0" customHeight="1">
      <c r="A217" s="134" t="s">
        <v>84</v>
      </c>
      <c r="B217" s="134" t="s">
        <v>38</v>
      </c>
      <c r="C217" s="134" t="s">
        <v>178</v>
      </c>
      <c r="D217" s="135">
        <v>825.0</v>
      </c>
      <c r="E217" s="136">
        <v>1250.0</v>
      </c>
      <c r="F217" s="136">
        <v>4616.0</v>
      </c>
      <c r="G217" s="136">
        <v>0.0</v>
      </c>
      <c r="H217" s="136">
        <v>225.0</v>
      </c>
      <c r="I217" s="136">
        <v>1025.0</v>
      </c>
      <c r="J217" s="136">
        <v>0.0</v>
      </c>
      <c r="K217" s="136">
        <v>0.0</v>
      </c>
      <c r="L217" s="136">
        <v>0.0</v>
      </c>
      <c r="M217" s="136">
        <v>0.0</v>
      </c>
      <c r="N217" s="136">
        <v>0.0</v>
      </c>
      <c r="O217" s="136">
        <v>0.0</v>
      </c>
      <c r="P217" s="136">
        <v>0.0</v>
      </c>
      <c r="Q217" s="136">
        <v>0.0</v>
      </c>
      <c r="R217" s="136">
        <v>0.0</v>
      </c>
      <c r="S217" s="137">
        <v>45483.0</v>
      </c>
      <c r="T217" s="137">
        <v>46031.0</v>
      </c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1.0</v>
      </c>
      <c r="G222" s="136">
        <v>0.0</v>
      </c>
      <c r="H222" s="136">
        <v>225.0</v>
      </c>
      <c r="I222" s="136">
        <v>659.0</v>
      </c>
      <c r="J222" s="136">
        <v>0.0</v>
      </c>
      <c r="K222" s="136">
        <v>0.0</v>
      </c>
      <c r="L222" s="136">
        <v>416.0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46081.0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1250.0</v>
      </c>
      <c r="F225" s="136">
        <v>0.0</v>
      </c>
      <c r="G225" s="136">
        <v>0.0</v>
      </c>
      <c r="H225" s="136">
        <v>225.0</v>
      </c>
      <c r="I225" s="136">
        <v>1025.0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/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1125.0</v>
      </c>
      <c r="F226" s="136">
        <v>0.0</v>
      </c>
      <c r="G226" s="136">
        <v>0.0</v>
      </c>
      <c r="H226" s="136">
        <v>225.0</v>
      </c>
      <c r="I226" s="136">
        <v>900.0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46022.0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0.0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-10.0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46091.0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519.75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45.2</v>
      </c>
      <c r="G233" s="136">
        <v>0.0</v>
      </c>
      <c r="H233" s="136">
        <v>225.0</v>
      </c>
      <c r="I233" s="136">
        <v>424.0</v>
      </c>
      <c r="J233" s="136">
        <v>0.0</v>
      </c>
      <c r="K233" s="136">
        <v>0.0</v>
      </c>
      <c r="L233" s="136">
        <v>601.0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343.7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107</v>
      </c>
      <c r="D236" s="135">
        <v>825.0</v>
      </c>
      <c r="E236" s="136">
        <v>1200.0</v>
      </c>
      <c r="F236" s="136">
        <v>0.0</v>
      </c>
      <c r="G236" s="136">
        <v>0.0</v>
      </c>
      <c r="H236" s="136">
        <v>225.0</v>
      </c>
      <c r="I236" s="136">
        <v>975.0</v>
      </c>
      <c r="J236" s="136">
        <v>0.0</v>
      </c>
      <c r="K236" s="136">
        <v>0.0</v>
      </c>
      <c r="L236" s="136">
        <v>0.0</v>
      </c>
      <c r="M236" s="136">
        <v>0.0</v>
      </c>
      <c r="N236" s="136">
        <v>0.0</v>
      </c>
      <c r="O236" s="136">
        <v>0.0</v>
      </c>
      <c r="P236" s="136">
        <v>0.0</v>
      </c>
      <c r="Q236" s="136">
        <v>0.0</v>
      </c>
      <c r="R236" s="136">
        <v>0.0</v>
      </c>
      <c r="S236" s="137">
        <v>45823.0</v>
      </c>
      <c r="T236" s="137">
        <v>46187.0</v>
      </c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-85.0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39</v>
      </c>
      <c r="D238" s="135">
        <v>825.0</v>
      </c>
      <c r="E238" s="136">
        <v>1250.0</v>
      </c>
      <c r="F238" s="136">
        <v>724.4</v>
      </c>
      <c r="G238" s="136">
        <v>0.0</v>
      </c>
      <c r="H238" s="136">
        <v>225.0</v>
      </c>
      <c r="I238" s="136">
        <v>1025.0</v>
      </c>
      <c r="J238" s="136">
        <v>0.0</v>
      </c>
      <c r="K238" s="136">
        <v>0.0</v>
      </c>
      <c r="L238" s="136">
        <v>0.0</v>
      </c>
      <c r="M238" s="136">
        <v>0.0</v>
      </c>
      <c r="N238" s="136">
        <v>0.0</v>
      </c>
      <c r="O238" s="136">
        <v>0.0</v>
      </c>
      <c r="P238" s="136">
        <v>0.0</v>
      </c>
      <c r="Q238" s="136">
        <v>0.0</v>
      </c>
      <c r="R238" s="136">
        <v>0.0</v>
      </c>
      <c r="S238" s="137">
        <v>45139.0</v>
      </c>
      <c r="T238" s="137">
        <v>45987.0</v>
      </c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-2586.0</v>
      </c>
      <c r="G239" s="136">
        <v>0.0</v>
      </c>
      <c r="H239" s="136">
        <v>125.0</v>
      </c>
      <c r="I239" s="136">
        <v>150.0</v>
      </c>
      <c r="J239" s="136">
        <v>0.0</v>
      </c>
      <c r="K239" s="136">
        <v>0.0</v>
      </c>
      <c r="L239" s="136">
        <v>723.0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1250.0</v>
      </c>
      <c r="F240" s="136">
        <v>842.0</v>
      </c>
      <c r="G240" s="136">
        <v>0.0</v>
      </c>
      <c r="H240" s="136">
        <v>225.0</v>
      </c>
      <c r="I240" s="136">
        <v>4.0</v>
      </c>
      <c r="J240" s="136">
        <v>0.0</v>
      </c>
      <c r="K240" s="136">
        <v>0.0</v>
      </c>
      <c r="L240" s="136">
        <v>1021.0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>
        <v>46302.0</v>
      </c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0.0</v>
      </c>
      <c r="G241" s="136">
        <v>0.0</v>
      </c>
      <c r="H241" s="136">
        <v>225.0</v>
      </c>
      <c r="I241" s="136">
        <v>108.0</v>
      </c>
      <c r="J241" s="136">
        <v>0.0</v>
      </c>
      <c r="K241" s="136">
        <v>0.0</v>
      </c>
      <c r="L241" s="136">
        <v>917.0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-1.7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-150.0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/>
    </row>
    <row r="247" ht="18.0" customHeight="1">
      <c r="A247" s="138" t="s">
        <v>244</v>
      </c>
      <c r="B247" s="138"/>
      <c r="C247" s="138" t="s">
        <v>280</v>
      </c>
      <c r="D247" s="139">
        <v>40350.0</v>
      </c>
      <c r="E247" s="140">
        <v>53384.3</v>
      </c>
      <c r="F247" s="140">
        <v>4567.62</v>
      </c>
      <c r="G247" s="140">
        <v>0.0</v>
      </c>
      <c r="H247" s="140">
        <v>9095.8</v>
      </c>
      <c r="I247" s="140">
        <v>36131.5</v>
      </c>
      <c r="J247" s="140">
        <v>0.0</v>
      </c>
      <c r="K247" s="140">
        <v>0.0</v>
      </c>
      <c r="L247" s="140">
        <v>8067.0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215.0</v>
      </c>
      <c r="F249" s="136">
        <v>101.67</v>
      </c>
      <c r="G249" s="136">
        <v>0.0</v>
      </c>
      <c r="H249" s="136">
        <v>0.0</v>
      </c>
      <c r="I249" s="136">
        <v>215.0</v>
      </c>
      <c r="J249" s="136">
        <v>0.0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32.36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46081.0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32.36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32.36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46112.0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233.41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32.36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32.36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-775.0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46112.0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-25.05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32.36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32.36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24.04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32.36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39</v>
      </c>
      <c r="D262" s="135">
        <v>675.0</v>
      </c>
      <c r="E262" s="136">
        <v>775.0</v>
      </c>
      <c r="F262" s="136">
        <v>-32.72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650.0</v>
      </c>
      <c r="F263" s="136">
        <v>64.86</v>
      </c>
      <c r="G263" s="136">
        <v>0.0</v>
      </c>
      <c r="H263" s="136">
        <v>0.0</v>
      </c>
      <c r="I263" s="136">
        <v>650.0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/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-675.0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46082.0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-4.47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292.0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0.0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46038.0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0.0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46418.0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575.0</v>
      </c>
      <c r="F269" s="136">
        <v>0.0</v>
      </c>
      <c r="G269" s="136">
        <v>0.0</v>
      </c>
      <c r="H269" s="136">
        <v>0.0</v>
      </c>
      <c r="I269" s="136">
        <v>575.0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32.36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26.93</v>
      </c>
      <c r="G271" s="136">
        <v>0.0</v>
      </c>
      <c r="H271" s="136">
        <v>0.0</v>
      </c>
      <c r="I271" s="136">
        <v>56.0</v>
      </c>
      <c r="J271" s="136">
        <v>694.0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46029.0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32.36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45961.0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-549.64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-62.99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32.36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750.0</v>
      </c>
      <c r="F276" s="136">
        <v>32.36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0.0</v>
      </c>
      <c r="S276" s="137">
        <v>44742.0</v>
      </c>
      <c r="T276" s="137">
        <v>46203.0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0.0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32.36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45929.0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21565.0</v>
      </c>
      <c r="F279" s="140">
        <v>-961.28</v>
      </c>
      <c r="G279" s="140">
        <v>0.0</v>
      </c>
      <c r="H279" s="140">
        <v>0.0</v>
      </c>
      <c r="I279" s="140">
        <v>18769.0</v>
      </c>
      <c r="J279" s="140">
        <v>2746.0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0.0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291</v>
      </c>
      <c r="D281" s="139">
        <v>229909.0</v>
      </c>
      <c r="E281" s="140">
        <v>206573.8</v>
      </c>
      <c r="F281" s="140">
        <v>16545.97</v>
      </c>
      <c r="G281" s="140">
        <v>0.0</v>
      </c>
      <c r="H281" s="140">
        <v>9225.8</v>
      </c>
      <c r="I281" s="140">
        <v>162373.5</v>
      </c>
      <c r="J281" s="140">
        <v>3674.0</v>
      </c>
      <c r="K281" s="140">
        <v>3491.0</v>
      </c>
      <c r="L281" s="140">
        <v>16341.0</v>
      </c>
      <c r="M281" s="140">
        <v>1958.0</v>
      </c>
      <c r="N281" s="140">
        <v>9120.0</v>
      </c>
      <c r="O281" s="140">
        <v>325.0</v>
      </c>
      <c r="P281" s="140">
        <v>25.0</v>
      </c>
      <c r="Q281" s="140">
        <v>15.0</v>
      </c>
      <c r="R281" s="140">
        <v>25.5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0.9177176471</v>
      </c>
      <c r="D282" s="145">
        <f t="shared" ref="D282:D284" si="2">IFERROR(
  SUMPRODUCT((A$285:A$295=A282)*D$285:D$295*I$285:I$295) /
  SUMPRODUCT((A$285:A$295=A282)*I$285:I$295),
0)</f>
        <v>0.9781749933</v>
      </c>
      <c r="E282" s="146">
        <f t="shared" ref="E282:E284" si="3">IFERROR(
  SUMPRODUCT((A$285:A$295=A282)*E$285:E$295),
0)
</f>
        <v>1509.55</v>
      </c>
      <c r="F282" s="147">
        <f t="shared" ref="F282:F284" si="4">IFERROR(
  SUMPRODUCT((A$285:A$295=A282)*F$285:F$295),
0)
</f>
        <v>3990.29</v>
      </c>
      <c r="G282" s="148">
        <f t="shared" ref="G282:G284" si="5">IFERROR(
  SUMPRODUCT((A$285:A$295=A282)*G$285:G$295),
0)
</f>
        <v>0</v>
      </c>
      <c r="H282" s="149">
        <f t="shared" ref="H282:H284" si="6">IFERROR(
  SUMPRODUCT((A$285:A$295=A282)*H$285:H$295*I$285:I$295) /
  SUMPRODUCT((A$285:A$295=A282)*I$285:I$295),
0)</f>
        <v>0.6514705882</v>
      </c>
    </row>
    <row r="283" ht="18.0" customHeight="1">
      <c r="A283" s="152" t="s">
        <v>251</v>
      </c>
      <c r="B283" s="153"/>
      <c r="C283" s="154">
        <f t="shared" si="1"/>
        <v>0.706</v>
      </c>
      <c r="D283" s="155">
        <f t="shared" si="2"/>
        <v>0.9079496763</v>
      </c>
      <c r="E283" s="156">
        <f t="shared" si="3"/>
        <v>2133.08</v>
      </c>
      <c r="F283" s="157">
        <f t="shared" si="4"/>
        <v>5403.08</v>
      </c>
      <c r="G283" s="158">
        <f t="shared" si="5"/>
        <v>2</v>
      </c>
      <c r="H283" s="149">
        <f t="shared" si="6"/>
        <v>0.75</v>
      </c>
    </row>
    <row r="284" ht="18.0" customHeight="1">
      <c r="A284" s="160" t="s">
        <v>252</v>
      </c>
      <c r="B284" s="161"/>
      <c r="C284" s="162">
        <f t="shared" si="1"/>
        <v>0.8928392857</v>
      </c>
      <c r="D284" s="163">
        <f t="shared" si="2"/>
        <v>0.9623753151</v>
      </c>
      <c r="E284" s="164">
        <f t="shared" si="3"/>
        <v>3524.1</v>
      </c>
      <c r="F284" s="165">
        <f t="shared" si="4"/>
        <v>7152.6</v>
      </c>
      <c r="G284" s="166">
        <f t="shared" si="5"/>
        <v>1</v>
      </c>
      <c r="H284" s="149">
        <f t="shared" si="6"/>
        <v>0.5189342404</v>
      </c>
    </row>
    <row r="285" ht="18.0" customHeight="1">
      <c r="A285" s="169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"),1.0)</f>
        <v>1</v>
      </c>
      <c r="D285" s="172">
        <f t="array" ref="D285">SUM(MAP(E11:E14, F11:F14, LAMBDA(e,f, MAX(0, e-f)))) / SUM(E11:E14)
</f>
        <v>1.002038217</v>
      </c>
      <c r="E285" s="173">
        <f t="array" ref="E285">SUM(MAP(E$11:E$14, F$11:F$14, LAMBDA(e,f, MIN(e, f))))
</f>
        <v>-8</v>
      </c>
      <c r="F285" s="174">
        <f>F15</f>
        <v>-8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"),0.75)</f>
        <v>0.75</v>
      </c>
      <c r="I285" s="175">
        <v>4.0</v>
      </c>
      <c r="J285" s="177">
        <v>46340.0</v>
      </c>
    </row>
    <row r="286" ht="18.0" customHeight="1">
      <c r="A286" s="169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0.9407534247</v>
      </c>
      <c r="E286" s="173">
        <f t="array" ref="E286">SUM(MAP(E$17:E$22, F$17:F$22, LAMBDA(e,f, MIN(e, f))))
</f>
        <v>216.25</v>
      </c>
      <c r="F286" s="174">
        <f>F23</f>
        <v>216.25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"),0.75)</f>
        <v>0.75</v>
      </c>
      <c r="I286" s="175">
        <v>6.0</v>
      </c>
      <c r="J286" s="179" t="s">
        <v>255</v>
      </c>
    </row>
    <row r="287" ht="18.0" customHeight="1">
      <c r="A287" s="169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"),0.8)</f>
        <v>0.8</v>
      </c>
      <c r="D287" s="172">
        <f t="array" ref="D287">SUM(MAP(E25:E29, F25:F29, LAMBDA(e, f, MAX(0, e - f)))) / SUM(E25:E29)</f>
        <v>0.9081196581</v>
      </c>
      <c r="E287" s="173">
        <f t="array" ref="E287">SUM(MAP(E$25:E$29, F$25:F$29, LAMBDA(e,f, MIN(e, f))))
</f>
        <v>268.75</v>
      </c>
      <c r="F287" s="174">
        <f>F30</f>
        <v>268.75</v>
      </c>
      <c r="G287" s="175">
        <f>IFERROR(__xludf.DUMMYFUNCTION("SUMPRODUCT(--(C25:C29&lt;&gt;""Vacant-Unrented""),--(C25:C29&lt;&gt;""Vacant-Rented""),--((N(W25:W29)&gt;N(X25:X29))+N(REGEXMATCH(LOWER(C25:C29),""evict""))&gt;0))"),0.0)</f>
        <v>0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"),0.75)</f>
        <v>0.75</v>
      </c>
      <c r="I287" s="175">
        <v>5.0</v>
      </c>
      <c r="J287" s="179" t="s">
        <v>257</v>
      </c>
    </row>
    <row r="288" ht="18.0" customHeight="1">
      <c r="A288" s="169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1.084285714</v>
      </c>
      <c r="E288" s="173">
        <f t="array" ref="E288">SUM(MAP(E$32:E$33, F$32:F$33, LAMBDA(e,f, MIN(e, f))))
</f>
        <v>-118</v>
      </c>
      <c r="F288" s="174">
        <f>F34</f>
        <v>-118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  <c r="J288" s="179" t="s">
        <v>259</v>
      </c>
    </row>
    <row r="289" ht="18.0" customHeight="1">
      <c r="A289" s="169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1</v>
      </c>
      <c r="E289" s="173">
        <f t="array" ref="E289">SUM(MAP(E$36:E$37, F$36:F$37, LAMBDA(e,f, MIN(e, f))))
</f>
        <v>0</v>
      </c>
      <c r="F289" s="174">
        <f>F38</f>
        <v>0</v>
      </c>
      <c r="G289" s="175">
        <f>IFERROR(__xludf.DUMMYFUNCTION("SUMPRODUCT(--(C40:C75&lt;&gt;""Vacant-Unrented""),--(C40:C75&lt;&gt;""Vacant-Rented""),--((N(W40:W75)&gt;N(X40:X75))+N(REGEXMATCH(LOWER(C40:C75),""evict""))&gt;0))"),0.0)</f>
        <v>0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  <c r="J289" s="179" t="s">
        <v>261</v>
      </c>
    </row>
    <row r="290" ht="18.0" customHeight="1">
      <c r="A290" s="180" t="s">
        <v>250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0.9268883504</v>
      </c>
      <c r="E290" s="173">
        <f t="array" ref="E290">SUM(MAP(E$40:E$75, F$40:F$75, LAMBDA(e,f, MIN(e, f))))
</f>
        <v>2111.83</v>
      </c>
      <c r="F290" s="174">
        <f>F76</f>
        <v>4592.57</v>
      </c>
      <c r="G290" s="175">
        <f>IFERROR(__xludf.DUMMYFUNCTION("SUMPRODUCT(--(C40:C75&lt;&gt;""Vacant-Unrented""),--(C40:C75&lt;&gt;""Vacant-Rented""),--((N(W40:W75)&gt;N(X40:X75))+N(REGEXMATCH(LOWER(C40:C75),""evict""))&gt;0))"),0.0)</f>
        <v>0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"),0.53125)</f>
        <v>0.53125</v>
      </c>
      <c r="I290" s="175">
        <v>36.0</v>
      </c>
      <c r="J290" s="179" t="s">
        <v>263</v>
      </c>
    </row>
    <row r="291" ht="18.0" customHeight="1">
      <c r="A291" s="169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"),0.706)</f>
        <v>0.706</v>
      </c>
      <c r="D291" s="172">
        <f t="array" ref="D291">SUM(MAP(E79:E129, F79:F129, LAMBDA(e,f, MAX(0, e-f)))) / SUM(E79:E129)
</f>
        <v>0.9079496763</v>
      </c>
      <c r="E291" s="173">
        <f t="array" ref="E291">SUM(MAP(E$78:E$128, F$78:F$128, LAMBDA(e,f, MIN(e, f))))
</f>
        <v>2133.08</v>
      </c>
      <c r="F291" s="174">
        <f>F129</f>
        <v>5403.08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"),2.0)</f>
        <v>2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"),0.75)</f>
        <v>0.75</v>
      </c>
      <c r="I291" s="175">
        <v>51.0</v>
      </c>
      <c r="J291" s="179" t="s">
        <v>265</v>
      </c>
    </row>
    <row r="292" ht="18.0" customHeight="1">
      <c r="A292" s="169" t="s">
        <v>252</v>
      </c>
      <c r="B292" s="170" t="s">
        <v>266</v>
      </c>
      <c r="C292" s="171">
        <f>IFERROR(__xludf.DUMMYFUNCTION("IF(ISNUMBER(SEARCH(""%"",C171)), VALUE(REGEXREPLACE(C171,""[^0-9.]"",""""))/100, VALUE(REGEXREPLACE(C171,""[^0-9.]"","""")))
"),0.875)</f>
        <v>0.875</v>
      </c>
      <c r="D292" s="172">
        <f t="array" ref="D292">SUM(MAP(E131:E170, F131:F170, LAMBDA(e,f, MAX(0, e-f)))) / SUM(E131:E170)
</f>
        <v>0.9373786077</v>
      </c>
      <c r="E292" s="173">
        <f t="array" ref="E292">SUM(MAP(E$131:E$170, F$131:F$170, LAMBDA(e,f, MIN(e, f))))
</f>
        <v>1929.96</v>
      </c>
      <c r="F292" s="174">
        <f>F171</f>
        <v>2142.46</v>
      </c>
      <c r="G292" s="175">
        <f>IFERROR(__xludf.DUMMYFUNCTION("SUMPRODUCT(--(C131:C170&lt;&gt;""Vacant-Unrented""),--(C131:C170&lt;&gt;""Vacant-Rented""),--((N(W131:W170)&gt;N(X131:X170))+N(REGEXMATCH(LOWER(C131:C170),""evict""))&gt;0))"),0.0)</f>
        <v>0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"),0.42857142857142855)</f>
        <v>0.4285714286</v>
      </c>
      <c r="I292" s="175">
        <v>40.0</v>
      </c>
      <c r="J292" s="179" t="s">
        <v>267</v>
      </c>
    </row>
    <row r="293" ht="18.0" customHeight="1">
      <c r="A293" s="169" t="s">
        <v>252</v>
      </c>
      <c r="B293" s="170" t="s">
        <v>268</v>
      </c>
      <c r="C293" s="171">
        <f>IFERROR(__xludf.DUMMYFUNCTION("IF(ISNUMBER(SEARCH(""%"",C195)), VALUE(REGEXREPLACE(C195,""[^0-9.]"",""""))/100, VALUE(REGEXREPLACE(C195,""[^0-9.]"","""")))
"),0.909)</f>
        <v>0.909</v>
      </c>
      <c r="D293" s="172">
        <f t="array" ref="D293">SUM(MAP(E174:E195, F174:F195, LAMBDA(e,f, MAX(0, e-f)))) / SUM(E174:E195)
</f>
        <v>0.9734697379</v>
      </c>
      <c r="E293" s="173">
        <f t="array" ref="E293">SUM(MAP(E$173:E$194, F$173:F$194, LAMBDA(e,f, MIN(e, f))))
</f>
        <v>392.52</v>
      </c>
      <c r="F293" s="174">
        <f>F195</f>
        <v>442.52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"),0.6)</f>
        <v>0.6</v>
      </c>
      <c r="I293" s="175">
        <v>22.0</v>
      </c>
      <c r="J293" s="179" t="s">
        <v>269</v>
      </c>
    </row>
    <row r="294" ht="18.0" customHeight="1">
      <c r="A294" s="169" t="s">
        <v>252</v>
      </c>
      <c r="B294" s="170" t="s">
        <v>270</v>
      </c>
      <c r="C294" s="171">
        <f>IFERROR(__xludf.DUMMYFUNCTION("IF(ISNUMBER(SEARCH(""%"",C247)), VALUE(REGEXREPLACE(C247,""[^0-9.]"",""""))/100, VALUE(REGEXREPLACE(C247,""[^0-9.]"","""")))
"),0.9)</f>
        <v>0.9</v>
      </c>
      <c r="D294" s="172">
        <f t="array" ref="D294">SUM(MAP(E197:E246, F197:F246, LAMBDA(e,f, MAX(0, e-f)))) / SUM(E197:E246)
</f>
        <v>0.977491135</v>
      </c>
      <c r="E294" s="173">
        <f t="array" ref="E294">SUM(MAP(E$197:E$246, F$197:F$246, LAMBDA(e,f, MIN(e, f))))
</f>
        <v>1201.62</v>
      </c>
      <c r="F294" s="174">
        <f>F247</f>
        <v>4567.62</v>
      </c>
      <c r="G294" s="175">
        <f>IFERROR(__xludf.DUMMYFUNCTION("SUMPRODUCT(--(C197:C246&lt;&gt;""Vacant-Unrented""),--(C197:C246&lt;&gt;""Vacant-Rented""),--((N(W197:W246)&gt;N(X197:X246))+N(REGEXMATCH(LOWER(C197:C246),""evict""))&gt;0))"),1.0)</f>
        <v>1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"),0.5555555555555556)</f>
        <v>0.5555555556</v>
      </c>
      <c r="I294" s="175">
        <v>50.0</v>
      </c>
      <c r="J294" s="179" t="s">
        <v>271</v>
      </c>
    </row>
    <row r="295" ht="18.0" customHeight="1">
      <c r="A295" s="180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1.047168356</v>
      </c>
      <c r="E295" s="183">
        <f t="array" ref="E295">SUM(MAP(E$249:E$278, F$249:F$278, LAMBDA(e,f, MIN(e, f))))
</f>
        <v>-961.28</v>
      </c>
      <c r="F295" s="184">
        <f>F279</f>
        <v>-961.28</v>
      </c>
      <c r="G295" s="185">
        <f>IFERROR(__xludf.DUMMYFUNCTION("SUMPRODUCT(--(C249:C278&lt;&gt;""Vacant-Unrented""),--(C249:C278&lt;&gt;""Vacant-Rented""),--((N(W249:W278)&gt;N(X249:X278))+N(REGEXMATCH(LOWER(C249:C278),""evict""))&gt;0))"),0.0)</f>
        <v>0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"),0.7)</f>
        <v>0.7</v>
      </c>
      <c r="I295" s="175">
        <v>30.0</v>
      </c>
      <c r="J295" s="179" t="s">
        <v>273</v>
      </c>
    </row>
    <row r="296" ht="18.0" customHeight="1">
      <c r="A296" s="186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0)"),0.8644296577946768)</f>
        <v>0.8644296578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"),0.9653066845843962)</f>
        <v>0.9653066846</v>
      </c>
      <c r="E296" s="190">
        <f t="shared" ref="E296:G296" si="7">sum(E285:E295)</f>
        <v>7166.73</v>
      </c>
      <c r="F296" s="190">
        <f t="shared" si="7"/>
        <v>16545.97</v>
      </c>
      <c r="G296" s="191">
        <f t="shared" si="7"/>
        <v>3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"),0.6074766355140186)</f>
        <v>0.6074766355</v>
      </c>
      <c r="I296" s="193"/>
      <c r="J296" s="194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63"/>
    <col customWidth="1" min="7" max="7" width="31.25"/>
    <col customWidth="1" min="8" max="8" width="111.13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95" t="s">
        <v>298</v>
      </c>
    </row>
    <row r="2" ht="18.0" customHeight="1">
      <c r="A2" s="130" t="s">
        <v>299</v>
      </c>
    </row>
    <row r="3" ht="18.0" customHeight="1">
      <c r="A3" s="130"/>
    </row>
    <row r="4" ht="18.0" customHeight="1">
      <c r="A4" s="131" t="s">
        <v>300</v>
      </c>
    </row>
    <row r="5" ht="18.0" customHeight="1">
      <c r="A5" s="131" t="s">
        <v>301</v>
      </c>
    </row>
    <row r="6" ht="18.0" customHeight="1">
      <c r="A6" s="131" t="s">
        <v>302</v>
      </c>
    </row>
    <row r="7" ht="18.0" customHeight="1">
      <c r="A7" s="131" t="s">
        <v>303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1075.0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875.0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967.0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107</v>
      </c>
      <c r="D14" s="135">
        <v>950.0</v>
      </c>
      <c r="E14" s="136">
        <v>1000.0</v>
      </c>
      <c r="F14" s="136">
        <v>1000.0</v>
      </c>
      <c r="G14" s="136">
        <v>0.0</v>
      </c>
      <c r="H14" s="136">
        <v>0.0</v>
      </c>
      <c r="I14" s="136">
        <v>1000.0</v>
      </c>
      <c r="J14" s="136">
        <v>0.0</v>
      </c>
      <c r="K14" s="136">
        <v>0.0</v>
      </c>
      <c r="L14" s="136">
        <v>0.0</v>
      </c>
      <c r="M14" s="136">
        <v>0.0</v>
      </c>
      <c r="N14" s="136">
        <v>0.0</v>
      </c>
      <c r="O14" s="136">
        <v>0.0</v>
      </c>
      <c r="P14" s="136">
        <v>0.0</v>
      </c>
      <c r="Q14" s="136">
        <v>0.0</v>
      </c>
      <c r="R14" s="136">
        <v>0.0</v>
      </c>
      <c r="S14" s="137">
        <v>45366.0</v>
      </c>
      <c r="T14" s="137">
        <v>46095.0</v>
      </c>
    </row>
    <row r="15" ht="18.0" customHeight="1">
      <c r="A15" s="138" t="s">
        <v>43</v>
      </c>
      <c r="B15" s="138"/>
      <c r="C15" s="138" t="s">
        <v>44</v>
      </c>
      <c r="D15" s="139">
        <v>3800.0</v>
      </c>
      <c r="E15" s="140">
        <v>3925.0</v>
      </c>
      <c r="F15" s="140">
        <v>3917.0</v>
      </c>
      <c r="G15" s="140">
        <v>0.0</v>
      </c>
      <c r="H15" s="140">
        <v>0.0</v>
      </c>
      <c r="I15" s="140">
        <v>3532.0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850.0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950.0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925.0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46443.0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1875.0</v>
      </c>
      <c r="F22" s="136">
        <v>1875.0</v>
      </c>
      <c r="G22" s="136">
        <v>0.0</v>
      </c>
      <c r="H22" s="136">
        <v>0.0</v>
      </c>
      <c r="I22" s="136">
        <v>1850.0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25.0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4600.0</v>
      </c>
      <c r="F23" s="140">
        <v>4600.0</v>
      </c>
      <c r="G23" s="140">
        <v>0.0</v>
      </c>
      <c r="H23" s="140">
        <v>0.0</v>
      </c>
      <c r="I23" s="140">
        <v>3990.0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50.0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47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675.0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725.0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39</v>
      </c>
      <c r="D28" s="135">
        <v>621.0</v>
      </c>
      <c r="E28" s="136">
        <v>725.0</v>
      </c>
      <c r="F28" s="136">
        <v>1113.75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750.0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46431.0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3263.75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750.0</v>
      </c>
      <c r="F32" s="136">
        <v>632.0</v>
      </c>
      <c r="G32" s="136">
        <v>0.0</v>
      </c>
      <c r="H32" s="136">
        <v>0.0</v>
      </c>
      <c r="I32" s="136">
        <v>750.0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650.0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1400.0</v>
      </c>
      <c r="F34" s="140">
        <v>1282.0</v>
      </c>
      <c r="G34" s="140">
        <v>0.0</v>
      </c>
      <c r="H34" s="140">
        <v>0.0</v>
      </c>
      <c r="I34" s="140">
        <v>1400.0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1200.0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1200.0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850.0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0.0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46356.0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850.0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46035.0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725.0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46023.0</v>
      </c>
      <c r="T44" s="137">
        <v>46568.0</v>
      </c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1025.0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46568.0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1086.51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45954.0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1025.0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46355.0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900.0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850.0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800.0</v>
      </c>
      <c r="F54" s="136">
        <v>0.0</v>
      </c>
      <c r="G54" s="136">
        <v>0.0</v>
      </c>
      <c r="H54" s="136">
        <v>0.0</v>
      </c>
      <c r="I54" s="136">
        <v>800.0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45946.0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850.0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1075.0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46081.0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750.0</v>
      </c>
      <c r="F58" s="136">
        <v>0.0</v>
      </c>
      <c r="G58" s="136">
        <v>0.0</v>
      </c>
      <c r="H58" s="136">
        <v>0.0</v>
      </c>
      <c r="I58" s="136">
        <v>750.0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46022.0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1025.0</v>
      </c>
      <c r="F60" s="136">
        <v>1265.83</v>
      </c>
      <c r="G60" s="136">
        <v>0.0</v>
      </c>
      <c r="H60" s="136">
        <v>0.0</v>
      </c>
      <c r="I60" s="136">
        <v>1025.0</v>
      </c>
      <c r="J60" s="136">
        <v>0.0</v>
      </c>
      <c r="K60" s="136">
        <v>0.0</v>
      </c>
      <c r="L60" s="136">
        <v>0.0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925.0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1044.75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971.67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39</v>
      </c>
      <c r="D65" s="135">
        <v>700.0</v>
      </c>
      <c r="E65" s="136">
        <v>825.0</v>
      </c>
      <c r="F65" s="136">
        <v>2086.25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800.0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950.0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46077.0</v>
      </c>
    </row>
    <row r="68" ht="18.0" customHeight="1">
      <c r="A68" s="134" t="s">
        <v>91</v>
      </c>
      <c r="B68" s="134" t="s">
        <v>38</v>
      </c>
      <c r="C68" s="134" t="s">
        <v>39</v>
      </c>
      <c r="D68" s="135">
        <v>950.0</v>
      </c>
      <c r="E68" s="136">
        <v>800.0</v>
      </c>
      <c r="F68" s="136">
        <v>800.0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1821.25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750.0</v>
      </c>
      <c r="F70" s="136">
        <v>0.0</v>
      </c>
      <c r="G70" s="136">
        <v>0.0</v>
      </c>
      <c r="H70" s="136">
        <v>0.0</v>
      </c>
      <c r="I70" s="136">
        <v>750.0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1025.0</v>
      </c>
      <c r="F72" s="136">
        <v>981.19</v>
      </c>
      <c r="G72" s="136">
        <v>0.0</v>
      </c>
      <c r="H72" s="136">
        <v>0.0</v>
      </c>
      <c r="I72" s="136">
        <v>1025.0</v>
      </c>
      <c r="J72" s="136">
        <v>0.0</v>
      </c>
      <c r="K72" s="136">
        <v>0.0</v>
      </c>
      <c r="L72" s="136">
        <v>0.0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950.0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46094.0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28885.0</v>
      </c>
      <c r="F76" s="140">
        <v>21832.45</v>
      </c>
      <c r="G76" s="140">
        <v>0.0</v>
      </c>
      <c r="H76" s="140">
        <v>0.0</v>
      </c>
      <c r="I76" s="140">
        <v>28820.0</v>
      </c>
      <c r="J76" s="140">
        <v>0.0</v>
      </c>
      <c r="K76" s="140">
        <v>0.0</v>
      </c>
      <c r="L76" s="140">
        <v>0.0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900.0</v>
      </c>
      <c r="F78" s="136">
        <v>900.0</v>
      </c>
      <c r="G78" s="136">
        <v>0.0</v>
      </c>
      <c r="H78" s="136">
        <v>0.0</v>
      </c>
      <c r="I78" s="136">
        <v>44.0</v>
      </c>
      <c r="J78" s="136">
        <v>0.0</v>
      </c>
      <c r="K78" s="136">
        <v>0.0</v>
      </c>
      <c r="L78" s="136">
        <v>856.0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47</v>
      </c>
      <c r="D79" s="135">
        <v>1400.0</v>
      </c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7"/>
      <c r="T79" s="137"/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107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46073.0</v>
      </c>
    </row>
    <row r="82" ht="18.0" customHeight="1">
      <c r="A82" s="134" t="s">
        <v>108</v>
      </c>
      <c r="B82" s="134" t="s">
        <v>104</v>
      </c>
      <c r="C82" s="134" t="s">
        <v>39</v>
      </c>
      <c r="D82" s="135">
        <v>1400.0</v>
      </c>
      <c r="E82" s="136">
        <v>1250.0</v>
      </c>
      <c r="F82" s="136">
        <v>1251.74</v>
      </c>
      <c r="G82" s="136">
        <v>0.0</v>
      </c>
      <c r="H82" s="136">
        <v>0.0</v>
      </c>
      <c r="I82" s="136">
        <v>1250.0</v>
      </c>
      <c r="J82" s="136">
        <v>0.0</v>
      </c>
      <c r="K82" s="136">
        <v>0.0</v>
      </c>
      <c r="L82" s="136">
        <v>0.0</v>
      </c>
      <c r="M82" s="136">
        <v>0.0</v>
      </c>
      <c r="N82" s="136">
        <v>0.0</v>
      </c>
      <c r="O82" s="136">
        <v>0.0</v>
      </c>
      <c r="P82" s="136">
        <v>0.0</v>
      </c>
      <c r="Q82" s="136">
        <v>0.0</v>
      </c>
      <c r="R82" s="136">
        <v>0.0</v>
      </c>
      <c r="S82" s="137">
        <v>45221.0</v>
      </c>
      <c r="T82" s="137">
        <v>45951.0</v>
      </c>
    </row>
    <row r="83" ht="18.0" customHeight="1">
      <c r="A83" s="134" t="s">
        <v>109</v>
      </c>
      <c r="B83" s="134" t="s">
        <v>38</v>
      </c>
      <c r="C83" s="134" t="s">
        <v>39</v>
      </c>
      <c r="D83" s="135">
        <v>1400.0</v>
      </c>
      <c r="E83" s="136">
        <v>1099.0</v>
      </c>
      <c r="F83" s="136">
        <v>0.0</v>
      </c>
      <c r="G83" s="136">
        <v>0.0</v>
      </c>
      <c r="H83" s="136">
        <v>0.0</v>
      </c>
      <c r="I83" s="136">
        <v>1099.0</v>
      </c>
      <c r="J83" s="136">
        <v>0.0</v>
      </c>
      <c r="K83" s="136">
        <v>0.0</v>
      </c>
      <c r="L83" s="136">
        <v>0.0</v>
      </c>
      <c r="M83" s="136">
        <v>0.0</v>
      </c>
      <c r="N83" s="136">
        <v>0.0</v>
      </c>
      <c r="O83" s="136">
        <v>0.0</v>
      </c>
      <c r="P83" s="136">
        <v>0.0</v>
      </c>
      <c r="Q83" s="136">
        <v>0.0</v>
      </c>
      <c r="R83" s="136">
        <v>0.0</v>
      </c>
      <c r="S83" s="137">
        <v>45992.0</v>
      </c>
      <c r="T83" s="137">
        <v>46356.0</v>
      </c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889.99</v>
      </c>
      <c r="G84" s="136">
        <v>0.0</v>
      </c>
      <c r="H84" s="136">
        <v>0.0</v>
      </c>
      <c r="I84" s="136">
        <v>61.0</v>
      </c>
      <c r="J84" s="136">
        <v>0.0</v>
      </c>
      <c r="K84" s="136">
        <v>0.0</v>
      </c>
      <c r="L84" s="136">
        <v>839.0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47</v>
      </c>
      <c r="D86" s="135">
        <v>1400.0</v>
      </c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7"/>
      <c r="T86" s="137"/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1000.0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2426.0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1000.0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47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39</v>
      </c>
      <c r="D93" s="135">
        <v>1400.0</v>
      </c>
      <c r="E93" s="136">
        <v>1150.0</v>
      </c>
      <c r="F93" s="136">
        <v>1185.0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2100.0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920.0</v>
      </c>
      <c r="G95" s="136">
        <v>0.0</v>
      </c>
      <c r="H95" s="136">
        <v>0.0</v>
      </c>
      <c r="I95" s="136">
        <v>280.0</v>
      </c>
      <c r="J95" s="136">
        <v>0.0</v>
      </c>
      <c r="K95" s="136">
        <v>0.0</v>
      </c>
      <c r="L95" s="136">
        <v>620.0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115</v>
      </c>
      <c r="C96" s="134" t="s">
        <v>47</v>
      </c>
      <c r="D96" s="135">
        <v>1400.0</v>
      </c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7"/>
      <c r="T96" s="137"/>
    </row>
    <row r="97" ht="18.0" customHeight="1">
      <c r="A97" s="134" t="s">
        <v>124</v>
      </c>
      <c r="B97" s="134" t="s">
        <v>115</v>
      </c>
      <c r="C97" s="134" t="s">
        <v>178</v>
      </c>
      <c r="D97" s="135">
        <v>1400.0</v>
      </c>
      <c r="E97" s="136">
        <v>1300.0</v>
      </c>
      <c r="F97" s="136">
        <v>3935.0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1300.0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-50.0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1350.0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>
        <v>46356.0</v>
      </c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1350.0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1000.0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925.0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47</v>
      </c>
      <c r="D108" s="135">
        <v>1400.0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7"/>
      <c r="T108" s="137"/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1350.0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47</v>
      </c>
      <c r="D113" s="135">
        <v>1400.0</v>
      </c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7"/>
      <c r="T113" s="137"/>
    </row>
    <row r="114" ht="18.0" customHeight="1">
      <c r="A114" s="134" t="s">
        <v>141</v>
      </c>
      <c r="B114" s="134" t="s">
        <v>38</v>
      </c>
      <c r="C114" s="134" t="s">
        <v>178</v>
      </c>
      <c r="D114" s="135">
        <v>1400.0</v>
      </c>
      <c r="E114" s="136">
        <v>900.0</v>
      </c>
      <c r="F114" s="136">
        <v>3600.0</v>
      </c>
      <c r="G114" s="136">
        <v>0.0</v>
      </c>
      <c r="H114" s="136">
        <v>0.0</v>
      </c>
      <c r="I114" s="136">
        <v>0.0</v>
      </c>
      <c r="J114" s="136">
        <v>0.0</v>
      </c>
      <c r="K114" s="136">
        <v>0.0</v>
      </c>
      <c r="L114" s="136">
        <v>900.0</v>
      </c>
      <c r="M114" s="136">
        <v>0.0</v>
      </c>
      <c r="N114" s="136">
        <v>0.0</v>
      </c>
      <c r="O114" s="136">
        <v>0.0</v>
      </c>
      <c r="P114" s="136">
        <v>0.0</v>
      </c>
      <c r="Q114" s="136">
        <v>0.0</v>
      </c>
      <c r="R114" s="136">
        <v>0.0</v>
      </c>
      <c r="S114" s="137">
        <v>45231.0</v>
      </c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1100.0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45992.0</v>
      </c>
      <c r="T115" s="137">
        <v>46356.0</v>
      </c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967.0</v>
      </c>
      <c r="G116" s="136">
        <v>0.0</v>
      </c>
      <c r="H116" s="136">
        <v>0.0</v>
      </c>
      <c r="I116" s="136">
        <v>89.0</v>
      </c>
      <c r="J116" s="136">
        <v>0.0</v>
      </c>
      <c r="K116" s="136">
        <v>0.0</v>
      </c>
      <c r="L116" s="136">
        <v>886.0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45992.0</v>
      </c>
      <c r="T116" s="137">
        <v>46356.0</v>
      </c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1100.0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808.35</v>
      </c>
      <c r="G118" s="136">
        <v>0.0</v>
      </c>
      <c r="H118" s="136">
        <v>0.0</v>
      </c>
      <c r="I118" s="136">
        <v>817.0</v>
      </c>
      <c r="J118" s="136">
        <v>0.0</v>
      </c>
      <c r="K118" s="136">
        <v>0.0</v>
      </c>
      <c r="L118" s="136">
        <v>533.0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990.0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1000.0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1395.0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1250.0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1400.0</v>
      </c>
      <c r="F125" s="136">
        <v>566.0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50.0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1420.0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1350.0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39</v>
      </c>
      <c r="D128" s="135">
        <v>1400.0</v>
      </c>
      <c r="E128" s="136">
        <v>1000.0</v>
      </c>
      <c r="F128" s="136">
        <v>1000.0</v>
      </c>
      <c r="G128" s="136">
        <v>0.0</v>
      </c>
      <c r="H128" s="136">
        <v>0.0</v>
      </c>
      <c r="I128" s="136">
        <v>1000.0</v>
      </c>
      <c r="J128" s="136">
        <v>0.0</v>
      </c>
      <c r="K128" s="136">
        <v>0.0</v>
      </c>
      <c r="L128" s="136">
        <v>0.0</v>
      </c>
      <c r="M128" s="136">
        <v>0.0</v>
      </c>
      <c r="N128" s="136">
        <v>0.0</v>
      </c>
      <c r="O128" s="136">
        <v>0.0</v>
      </c>
      <c r="P128" s="136">
        <v>0.0</v>
      </c>
      <c r="Q128" s="136">
        <v>0.0</v>
      </c>
      <c r="R128" s="136">
        <v>0.0</v>
      </c>
      <c r="S128" s="137">
        <v>44927.0</v>
      </c>
      <c r="T128" s="137"/>
    </row>
    <row r="129" ht="18.0" customHeight="1">
      <c r="A129" s="138" t="s">
        <v>156</v>
      </c>
      <c r="B129" s="138"/>
      <c r="C129" s="138" t="s">
        <v>304</v>
      </c>
      <c r="D129" s="139">
        <v>71400.0</v>
      </c>
      <c r="E129" s="140">
        <v>42534.0</v>
      </c>
      <c r="F129" s="140">
        <v>39379.08</v>
      </c>
      <c r="G129" s="140">
        <v>0.0</v>
      </c>
      <c r="H129" s="140">
        <v>0.0</v>
      </c>
      <c r="I129" s="140">
        <v>35110.0</v>
      </c>
      <c r="J129" s="140">
        <v>0.0</v>
      </c>
      <c r="K129" s="140">
        <v>0.0</v>
      </c>
      <c r="L129" s="140">
        <v>7374.0</v>
      </c>
      <c r="M129" s="140">
        <v>0.0</v>
      </c>
      <c r="N129" s="140">
        <v>0.0</v>
      </c>
      <c r="O129" s="140">
        <v>50.0</v>
      </c>
      <c r="P129" s="140">
        <v>0.0</v>
      </c>
      <c r="Q129" s="140">
        <v>0.0</v>
      </c>
      <c r="R129" s="140">
        <v>0.0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725.0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900.0</v>
      </c>
      <c r="G132" s="136">
        <v>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900.0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731.0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825.0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375.0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750.0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723.0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47</v>
      </c>
      <c r="D138" s="135">
        <v>800.0</v>
      </c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7"/>
      <c r="T138" s="137"/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1050.0</v>
      </c>
      <c r="F139" s="136">
        <v>1312.5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1000.0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/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1000.0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1225.0</v>
      </c>
      <c r="F141" s="136">
        <v>1225.0</v>
      </c>
      <c r="G141" s="136">
        <v>0.0</v>
      </c>
      <c r="H141" s="136">
        <v>50.0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1230.0</v>
      </c>
      <c r="F143" s="136">
        <v>1230.0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1150.0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/>
    </row>
    <row r="144" ht="18.0" customHeight="1">
      <c r="A144" s="134" t="s">
        <v>173</v>
      </c>
      <c r="B144" s="134" t="s">
        <v>168</v>
      </c>
      <c r="C144" s="134" t="s">
        <v>47</v>
      </c>
      <c r="D144" s="135">
        <v>1000.0</v>
      </c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7"/>
      <c r="T144" s="137"/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890.96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1100.0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46568.0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828.0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0.0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950.0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886.0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900.0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>
        <v>46356.0</v>
      </c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800.0</v>
      </c>
      <c r="F153" s="136">
        <v>279.0</v>
      </c>
      <c r="G153" s="136">
        <v>0.0</v>
      </c>
      <c r="H153" s="136">
        <v>0.0</v>
      </c>
      <c r="I153" s="136">
        <v>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/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1723.43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1086.0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950.0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>
        <v>46418.0</v>
      </c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851.0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>
        <v>46326.0</v>
      </c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719.0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47</v>
      </c>
      <c r="D159" s="135">
        <v>850.0</v>
      </c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7"/>
      <c r="T159" s="137"/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924.0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/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910.0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/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1170.0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900.0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886.0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886.0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47</v>
      </c>
      <c r="D166" s="135">
        <v>850.0</v>
      </c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7"/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1000.0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46387.0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843.0</v>
      </c>
      <c r="F168" s="136">
        <v>843.0</v>
      </c>
      <c r="G168" s="136">
        <v>0.0</v>
      </c>
      <c r="H168" s="136">
        <v>0.0</v>
      </c>
      <c r="I168" s="136">
        <v>406.0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437.0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46387.0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900.0</v>
      </c>
      <c r="F169" s="136">
        <v>0.0</v>
      </c>
      <c r="G169" s="136">
        <v>0.0</v>
      </c>
      <c r="H169" s="136">
        <v>0.0</v>
      </c>
      <c r="I169" s="136">
        <v>900.0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/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305</v>
      </c>
      <c r="D171" s="139">
        <v>34800.0</v>
      </c>
      <c r="E171" s="140">
        <v>30869.5</v>
      </c>
      <c r="F171" s="140">
        <v>28478.89</v>
      </c>
      <c r="G171" s="140">
        <v>0.0</v>
      </c>
      <c r="H171" s="140">
        <v>180.0</v>
      </c>
      <c r="I171" s="140">
        <v>14085.0</v>
      </c>
      <c r="J171" s="140">
        <v>0.0</v>
      </c>
      <c r="K171" s="140">
        <v>4491.0</v>
      </c>
      <c r="L171" s="140">
        <v>900.0</v>
      </c>
      <c r="M171" s="140">
        <v>1958.0</v>
      </c>
      <c r="N171" s="140">
        <v>9120.0</v>
      </c>
      <c r="O171" s="140">
        <v>125.0</v>
      </c>
      <c r="P171" s="140">
        <v>0.0</v>
      </c>
      <c r="Q171" s="140">
        <v>0.0</v>
      </c>
      <c r="R171" s="140">
        <v>10.5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995.0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575.0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1350.0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650.0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1371.0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616.27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800.0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800.0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900.0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750.0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750.0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1025.0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800.0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1025.0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850.0</v>
      </c>
      <c r="F190" s="136">
        <v>646.52</v>
      </c>
      <c r="G190" s="136">
        <v>0.0</v>
      </c>
      <c r="H190" s="136">
        <v>0.0</v>
      </c>
      <c r="I190" s="136">
        <v>850.0</v>
      </c>
      <c r="J190" s="136">
        <v>0.0</v>
      </c>
      <c r="K190" s="136">
        <v>0.0</v>
      </c>
      <c r="L190" s="136">
        <v>0.0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895.0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297</v>
      </c>
      <c r="D192" s="135">
        <v>825.0</v>
      </c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7"/>
      <c r="T192" s="137"/>
    </row>
    <row r="193" ht="18.0" customHeight="1">
      <c r="A193" s="134" t="s">
        <v>224</v>
      </c>
      <c r="B193" s="134" t="s">
        <v>56</v>
      </c>
      <c r="C193" s="134" t="s">
        <v>39</v>
      </c>
      <c r="D193" s="135">
        <v>750.0</v>
      </c>
      <c r="E193" s="136">
        <v>840.0</v>
      </c>
      <c r="F193" s="136">
        <v>315.5</v>
      </c>
      <c r="G193" s="136">
        <v>0.0</v>
      </c>
      <c r="H193" s="136">
        <v>0.0</v>
      </c>
      <c r="I193" s="136">
        <v>800.0</v>
      </c>
      <c r="J193" s="136">
        <v>0.0</v>
      </c>
      <c r="K193" s="136">
        <v>0.0</v>
      </c>
      <c r="L193" s="136">
        <v>0.0</v>
      </c>
      <c r="M193" s="136">
        <v>0.0</v>
      </c>
      <c r="N193" s="136">
        <v>0.0</v>
      </c>
      <c r="O193" s="136">
        <v>25.0</v>
      </c>
      <c r="P193" s="136">
        <v>0.0</v>
      </c>
      <c r="Q193" s="136">
        <v>0.0</v>
      </c>
      <c r="R193" s="136">
        <v>15.0</v>
      </c>
      <c r="S193" s="137">
        <v>45987.0</v>
      </c>
      <c r="T193" s="137">
        <v>46326.0</v>
      </c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750.0</v>
      </c>
      <c r="F194" s="136">
        <v>-25.0</v>
      </c>
      <c r="G194" s="136">
        <v>0.0</v>
      </c>
      <c r="H194" s="136">
        <v>0.0</v>
      </c>
      <c r="I194" s="136">
        <v>750.0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/>
    </row>
    <row r="195" ht="18.0" customHeight="1">
      <c r="A195" s="138" t="s">
        <v>226</v>
      </c>
      <c r="B195" s="138"/>
      <c r="C195" s="138" t="s">
        <v>306</v>
      </c>
      <c r="D195" s="139">
        <v>17550.0</v>
      </c>
      <c r="E195" s="140">
        <v>17075.0</v>
      </c>
      <c r="F195" s="140">
        <v>14239.29</v>
      </c>
      <c r="G195" s="140">
        <v>0.0</v>
      </c>
      <c r="H195" s="140">
        <v>0.0</v>
      </c>
      <c r="I195" s="140">
        <v>17035.0</v>
      </c>
      <c r="J195" s="140">
        <v>0.0</v>
      </c>
      <c r="K195" s="140">
        <v>0.0</v>
      </c>
      <c r="L195" s="140">
        <v>0.0</v>
      </c>
      <c r="M195" s="140">
        <v>0.0</v>
      </c>
      <c r="N195" s="140">
        <v>0.0</v>
      </c>
      <c r="O195" s="140">
        <v>25.0</v>
      </c>
      <c r="P195" s="140">
        <v>0.0</v>
      </c>
      <c r="Q195" s="140">
        <v>0.0</v>
      </c>
      <c r="R195" s="140">
        <v>15.0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145.0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1281.0</v>
      </c>
      <c r="G199" s="136">
        <v>0.0</v>
      </c>
      <c r="H199" s="136">
        <v>225.0</v>
      </c>
      <c r="I199" s="136">
        <v>91.0</v>
      </c>
      <c r="J199" s="136">
        <v>0.0</v>
      </c>
      <c r="K199" s="136">
        <v>0.0</v>
      </c>
      <c r="L199" s="136">
        <v>934.0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1175.0</v>
      </c>
      <c r="F200" s="136">
        <v>1175.0</v>
      </c>
      <c r="G200" s="136">
        <v>0.0</v>
      </c>
      <c r="H200" s="136">
        <v>225.0</v>
      </c>
      <c r="I200" s="136">
        <v>950.0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597.5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92.0</v>
      </c>
      <c r="G202" s="136">
        <v>0.0</v>
      </c>
      <c r="H202" s="136">
        <v>225.0</v>
      </c>
      <c r="I202" s="136">
        <v>135.0</v>
      </c>
      <c r="J202" s="136">
        <v>0.0</v>
      </c>
      <c r="K202" s="136">
        <v>0.0</v>
      </c>
      <c r="L202" s="136">
        <v>890.0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2316.95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1220.0</v>
      </c>
      <c r="F207" s="136">
        <v>1201.74</v>
      </c>
      <c r="G207" s="136">
        <v>0.0</v>
      </c>
      <c r="H207" s="136">
        <v>225.0</v>
      </c>
      <c r="I207" s="136">
        <v>995.0</v>
      </c>
      <c r="J207" s="136">
        <v>0.0</v>
      </c>
      <c r="K207" s="136">
        <v>0.0</v>
      </c>
      <c r="L207" s="136">
        <v>0.0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1228.75</v>
      </c>
      <c r="G208" s="136">
        <v>0.0</v>
      </c>
      <c r="H208" s="136">
        <v>225.0</v>
      </c>
      <c r="I208" s="136">
        <v>120.0</v>
      </c>
      <c r="J208" s="136">
        <v>0.0</v>
      </c>
      <c r="K208" s="136">
        <v>0.0</v>
      </c>
      <c r="L208" s="136">
        <v>905.0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1183.0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1250.0</v>
      </c>
      <c r="F211" s="136">
        <v>1249.0</v>
      </c>
      <c r="G211" s="136">
        <v>0.0</v>
      </c>
      <c r="H211" s="136">
        <v>225.0</v>
      </c>
      <c r="I211" s="136">
        <v>1025.0</v>
      </c>
      <c r="J211" s="136">
        <v>0.0</v>
      </c>
      <c r="K211" s="136">
        <v>0.0</v>
      </c>
      <c r="L211" s="136">
        <v>0.0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1423.95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1300.0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1796.25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46006.0</v>
      </c>
    </row>
    <row r="217" ht="18.0" customHeight="1">
      <c r="A217" s="134" t="s">
        <v>84</v>
      </c>
      <c r="B217" s="134" t="s">
        <v>38</v>
      </c>
      <c r="C217" s="134" t="s">
        <v>178</v>
      </c>
      <c r="D217" s="135">
        <v>825.0</v>
      </c>
      <c r="E217" s="136">
        <v>1250.0</v>
      </c>
      <c r="F217" s="136">
        <v>5866.0</v>
      </c>
      <c r="G217" s="136">
        <v>0.0</v>
      </c>
      <c r="H217" s="136">
        <v>225.0</v>
      </c>
      <c r="I217" s="136">
        <v>1025.0</v>
      </c>
      <c r="J217" s="136">
        <v>0.0</v>
      </c>
      <c r="K217" s="136">
        <v>0.0</v>
      </c>
      <c r="L217" s="136">
        <v>0.0</v>
      </c>
      <c r="M217" s="136">
        <v>0.0</v>
      </c>
      <c r="N217" s="136">
        <v>0.0</v>
      </c>
      <c r="O217" s="136">
        <v>0.0</v>
      </c>
      <c r="P217" s="136">
        <v>0.0</v>
      </c>
      <c r="Q217" s="136">
        <v>0.0</v>
      </c>
      <c r="R217" s="136">
        <v>0.0</v>
      </c>
      <c r="S217" s="137">
        <v>45483.0</v>
      </c>
      <c r="T217" s="137">
        <v>46031.0</v>
      </c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1200.0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1183.0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1301.0</v>
      </c>
      <c r="G222" s="136">
        <v>0.0</v>
      </c>
      <c r="H222" s="136">
        <v>225.0</v>
      </c>
      <c r="I222" s="136">
        <v>659.0</v>
      </c>
      <c r="J222" s="136">
        <v>0.0</v>
      </c>
      <c r="K222" s="136">
        <v>0.0</v>
      </c>
      <c r="L222" s="136">
        <v>416.0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46081.0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895.0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1250.0</v>
      </c>
      <c r="F225" s="136">
        <v>1250.0</v>
      </c>
      <c r="G225" s="136">
        <v>0.0</v>
      </c>
      <c r="H225" s="136">
        <v>225.0</v>
      </c>
      <c r="I225" s="136">
        <v>1025.0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/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1125.0</v>
      </c>
      <c r="F226" s="136">
        <v>0.0</v>
      </c>
      <c r="G226" s="136">
        <v>0.0</v>
      </c>
      <c r="H226" s="136">
        <v>225.0</v>
      </c>
      <c r="I226" s="136">
        <v>900.0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46022.0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1125.0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1240.0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46091.0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1150.0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1250.0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1739.75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1274.0</v>
      </c>
      <c r="G233" s="136">
        <v>0.0</v>
      </c>
      <c r="H233" s="136">
        <v>225.0</v>
      </c>
      <c r="I233" s="136">
        <v>424.0</v>
      </c>
      <c r="J233" s="136">
        <v>0.0</v>
      </c>
      <c r="K233" s="136">
        <v>0.0</v>
      </c>
      <c r="L233" s="136">
        <v>601.0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1518.7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107</v>
      </c>
      <c r="D236" s="135">
        <v>825.0</v>
      </c>
      <c r="E236" s="136">
        <v>1200.0</v>
      </c>
      <c r="F236" s="136">
        <v>0.0</v>
      </c>
      <c r="G236" s="136">
        <v>0.0</v>
      </c>
      <c r="H236" s="136">
        <v>225.0</v>
      </c>
      <c r="I236" s="136">
        <v>975.0</v>
      </c>
      <c r="J236" s="136">
        <v>0.0</v>
      </c>
      <c r="K236" s="136">
        <v>0.0</v>
      </c>
      <c r="L236" s="136">
        <v>0.0</v>
      </c>
      <c r="M236" s="136">
        <v>0.0</v>
      </c>
      <c r="N236" s="136">
        <v>0.0</v>
      </c>
      <c r="O236" s="136">
        <v>0.0</v>
      </c>
      <c r="P236" s="136">
        <v>0.0</v>
      </c>
      <c r="Q236" s="136">
        <v>0.0</v>
      </c>
      <c r="R236" s="136">
        <v>0.0</v>
      </c>
      <c r="S236" s="137">
        <v>45823.0</v>
      </c>
      <c r="T236" s="137">
        <v>46187.0</v>
      </c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955.0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39</v>
      </c>
      <c r="D238" s="135">
        <v>825.0</v>
      </c>
      <c r="E238" s="136">
        <v>1250.0</v>
      </c>
      <c r="F238" s="136">
        <v>1974.4</v>
      </c>
      <c r="G238" s="136">
        <v>0.0</v>
      </c>
      <c r="H238" s="136">
        <v>225.0</v>
      </c>
      <c r="I238" s="136">
        <v>1025.0</v>
      </c>
      <c r="J238" s="136">
        <v>0.0</v>
      </c>
      <c r="K238" s="136">
        <v>0.0</v>
      </c>
      <c r="L238" s="136">
        <v>0.0</v>
      </c>
      <c r="M238" s="136">
        <v>0.0</v>
      </c>
      <c r="N238" s="136">
        <v>0.0</v>
      </c>
      <c r="O238" s="136">
        <v>0.0</v>
      </c>
      <c r="P238" s="136">
        <v>0.0</v>
      </c>
      <c r="Q238" s="136">
        <v>0.0</v>
      </c>
      <c r="R238" s="136">
        <v>0.0</v>
      </c>
      <c r="S238" s="137">
        <v>45139.0</v>
      </c>
      <c r="T238" s="137">
        <v>45987.0</v>
      </c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-1588.0</v>
      </c>
      <c r="G239" s="136">
        <v>0.0</v>
      </c>
      <c r="H239" s="136">
        <v>125.0</v>
      </c>
      <c r="I239" s="136">
        <v>150.0</v>
      </c>
      <c r="J239" s="136">
        <v>0.0</v>
      </c>
      <c r="K239" s="136">
        <v>0.0</v>
      </c>
      <c r="L239" s="136">
        <v>723.0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1250.0</v>
      </c>
      <c r="F240" s="136">
        <v>2092.0</v>
      </c>
      <c r="G240" s="136">
        <v>0.0</v>
      </c>
      <c r="H240" s="136">
        <v>225.0</v>
      </c>
      <c r="I240" s="136">
        <v>4.0</v>
      </c>
      <c r="J240" s="136">
        <v>0.0</v>
      </c>
      <c r="K240" s="136">
        <v>0.0</v>
      </c>
      <c r="L240" s="136">
        <v>1021.0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>
        <v>46302.0</v>
      </c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1250.0</v>
      </c>
      <c r="G241" s="136">
        <v>0.0</v>
      </c>
      <c r="H241" s="136">
        <v>225.0</v>
      </c>
      <c r="I241" s="136">
        <v>108.0</v>
      </c>
      <c r="J241" s="136">
        <v>0.0</v>
      </c>
      <c r="K241" s="136">
        <v>0.0</v>
      </c>
      <c r="L241" s="136">
        <v>917.0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748.6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1275.0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800.0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/>
    </row>
    <row r="247" ht="18.0" customHeight="1">
      <c r="A247" s="138" t="s">
        <v>244</v>
      </c>
      <c r="B247" s="138"/>
      <c r="C247" s="138" t="s">
        <v>280</v>
      </c>
      <c r="D247" s="139">
        <v>40350.0</v>
      </c>
      <c r="E247" s="140">
        <v>53434.3</v>
      </c>
      <c r="F247" s="140">
        <v>43484.59</v>
      </c>
      <c r="G247" s="140">
        <v>0.0</v>
      </c>
      <c r="H247" s="140">
        <v>9095.8</v>
      </c>
      <c r="I247" s="140">
        <v>36181.5</v>
      </c>
      <c r="J247" s="140">
        <v>0.0</v>
      </c>
      <c r="K247" s="140">
        <v>0.0</v>
      </c>
      <c r="L247" s="140">
        <v>8067.0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700.0</v>
      </c>
      <c r="F249" s="136">
        <v>801.67</v>
      </c>
      <c r="G249" s="136">
        <v>0.0</v>
      </c>
      <c r="H249" s="136">
        <v>0.0</v>
      </c>
      <c r="I249" s="136">
        <v>215.0</v>
      </c>
      <c r="J249" s="136">
        <v>485.0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707.36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46081.0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732.36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807.36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46112.0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1053.41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757.36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857.36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0.0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46477.0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699.95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0.0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832.36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849.04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757.36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39</v>
      </c>
      <c r="D262" s="135">
        <v>675.0</v>
      </c>
      <c r="E262" s="136">
        <v>775.0</v>
      </c>
      <c r="F262" s="136">
        <v>742.28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700.0</v>
      </c>
      <c r="F263" s="136">
        <v>764.86</v>
      </c>
      <c r="G263" s="136">
        <v>0.0</v>
      </c>
      <c r="H263" s="136">
        <v>0.0</v>
      </c>
      <c r="I263" s="136">
        <v>700.0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>
        <v>46356.0</v>
      </c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0.0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46082.0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645.53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1042.0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0.0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46038.0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700.0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46418.0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575.0</v>
      </c>
      <c r="F269" s="136">
        <v>-100.0</v>
      </c>
      <c r="G269" s="136">
        <v>0.0</v>
      </c>
      <c r="H269" s="136">
        <v>0.0</v>
      </c>
      <c r="I269" s="136">
        <v>575.0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757.36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776.93</v>
      </c>
      <c r="G271" s="136">
        <v>0.0</v>
      </c>
      <c r="H271" s="136">
        <v>0.0</v>
      </c>
      <c r="I271" s="136">
        <v>56.0</v>
      </c>
      <c r="J271" s="136">
        <v>694.0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46029.0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782.36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46326.0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0.0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737.01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757.36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750.0</v>
      </c>
      <c r="F276" s="136">
        <v>782.36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0.0</v>
      </c>
      <c r="S276" s="137">
        <v>44742.0</v>
      </c>
      <c r="T276" s="137">
        <v>46203.0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775.0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807.36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46294.0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22100.0</v>
      </c>
      <c r="F279" s="140">
        <v>18826.0</v>
      </c>
      <c r="G279" s="140">
        <v>0.0</v>
      </c>
      <c r="H279" s="140">
        <v>0.0</v>
      </c>
      <c r="I279" s="140">
        <v>18819.0</v>
      </c>
      <c r="J279" s="140">
        <v>3231.0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0.0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307</v>
      </c>
      <c r="D281" s="139">
        <v>229909.0</v>
      </c>
      <c r="E281" s="140">
        <v>210147.8</v>
      </c>
      <c r="F281" s="140">
        <v>180503.05</v>
      </c>
      <c r="G281" s="140">
        <v>0.0</v>
      </c>
      <c r="H281" s="140">
        <v>9275.8</v>
      </c>
      <c r="I281" s="140">
        <v>164297.5</v>
      </c>
      <c r="J281" s="140">
        <v>4159.0</v>
      </c>
      <c r="K281" s="140">
        <v>4491.0</v>
      </c>
      <c r="L281" s="140">
        <v>16341.0</v>
      </c>
      <c r="M281" s="140">
        <v>1958.0</v>
      </c>
      <c r="N281" s="140">
        <v>9120.0</v>
      </c>
      <c r="O281" s="140">
        <v>425.0</v>
      </c>
      <c r="P281" s="140">
        <v>25.0</v>
      </c>
      <c r="Q281" s="140">
        <v>15.0</v>
      </c>
      <c r="R281" s="140">
        <v>40.5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0.9177176471</v>
      </c>
      <c r="D282" s="145">
        <f t="shared" ref="D282:D284" si="2">IFERROR(
  SUMPRODUCT((A$285:A$295=A282)*D$285:D$295*I$285:I$295) /
  SUMPRODUCT((A$285:A$295=A282)*I$285:I$295),
0)</f>
        <v>0.2179293265</v>
      </c>
      <c r="E282" s="146">
        <f t="shared" ref="E282:E284" si="3">IFERROR(
  SUMPRODUCT((A$285:A$295=A282)*E$285:E$295),
0)
</f>
        <v>50821.63</v>
      </c>
      <c r="F282" s="147">
        <f t="shared" ref="F282:F284" si="4">IFERROR(
  SUMPRODUCT((A$285:A$295=A282)*F$285:F$295),
0)
</f>
        <v>54921.2</v>
      </c>
      <c r="G282" s="148">
        <f t="shared" ref="G282:G284" si="5">IFERROR(
  SUMPRODUCT((A$285:A$295=A282)*G$285:G$295),
0)
</f>
        <v>0</v>
      </c>
      <c r="H282" s="149">
        <f t="shared" ref="H282:H284" si="6">IFERROR(
  SUMPRODUCT((A$285:A$295=A282)*H$285:H$295*I$285:I$295) /
  SUMPRODUCT((A$285:A$295=A282)*I$285:I$295),
0)</f>
        <v>0.7544117647</v>
      </c>
    </row>
    <row r="283" ht="18.0" customHeight="1">
      <c r="A283" s="152" t="s">
        <v>251</v>
      </c>
      <c r="B283" s="153"/>
      <c r="C283" s="154">
        <f t="shared" si="1"/>
        <v>0.7943150685</v>
      </c>
      <c r="D283" s="155">
        <f t="shared" si="2"/>
        <v>0.1783339664</v>
      </c>
      <c r="E283" s="156">
        <f t="shared" si="3"/>
        <v>44779.63</v>
      </c>
      <c r="F283" s="157">
        <f t="shared" si="4"/>
        <v>53618.37</v>
      </c>
      <c r="G283" s="158">
        <f t="shared" si="5"/>
        <v>2</v>
      </c>
      <c r="H283" s="149">
        <f t="shared" si="6"/>
        <v>0.7341372684</v>
      </c>
    </row>
    <row r="284" ht="18.0" customHeight="1">
      <c r="A284" s="160" t="s">
        <v>252</v>
      </c>
      <c r="B284" s="161"/>
      <c r="C284" s="162">
        <f t="shared" si="1"/>
        <v>0.8777777778</v>
      </c>
      <c r="D284" s="163">
        <f t="shared" si="2"/>
        <v>0.2562783612</v>
      </c>
      <c r="E284" s="164">
        <f t="shared" si="3"/>
        <v>61269.05</v>
      </c>
      <c r="F284" s="165">
        <f t="shared" si="4"/>
        <v>71963.48</v>
      </c>
      <c r="G284" s="166">
        <f t="shared" si="5"/>
        <v>1</v>
      </c>
      <c r="H284" s="149">
        <f t="shared" si="6"/>
        <v>0.5570079884</v>
      </c>
    </row>
    <row r="285" ht="18.0" customHeight="1">
      <c r="A285" s="169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"),1.0)</f>
        <v>1</v>
      </c>
      <c r="D285" s="172">
        <f t="array" ref="D285">SUM(MAP(E11:E14, F11:F14, LAMBDA(e,f, MAX(0, e-f)))) / SUM(E11:E14)
</f>
        <v>0.002038216561</v>
      </c>
      <c r="E285" s="173">
        <f t="array" ref="E285">SUM(MAP(E$11:E$14, F$11:F$14, LAMBDA(e,f, MIN(e, f))))
</f>
        <v>3917</v>
      </c>
      <c r="F285" s="174">
        <f>F15</f>
        <v>3917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"),0.75)</f>
        <v>0.75</v>
      </c>
      <c r="I285" s="175">
        <v>4.0</v>
      </c>
      <c r="J285" s="177">
        <v>46340.0</v>
      </c>
    </row>
    <row r="286" ht="18.0" customHeight="1">
      <c r="A286" s="169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0</v>
      </c>
      <c r="E286" s="173">
        <f t="array" ref="E286">SUM(MAP(E$17:E$22, F$17:F$22, LAMBDA(e,f, MIN(e, f))))
</f>
        <v>4600</v>
      </c>
      <c r="F286" s="174">
        <f>F23</f>
        <v>4600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"),0.75)</f>
        <v>0.75</v>
      </c>
      <c r="I286" s="175">
        <v>6.0</v>
      </c>
      <c r="J286" s="179" t="s">
        <v>255</v>
      </c>
    </row>
    <row r="287" ht="18.0" customHeight="1">
      <c r="A287" s="169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"),0.8)</f>
        <v>0.8</v>
      </c>
      <c r="D287" s="172">
        <f t="array" ref="D287">SUM(MAP(E25:E29, F25:F29, LAMBDA(e, f, MAX(0, e - f)))) / SUM(E25:E29)</f>
        <v>0.01709401709</v>
      </c>
      <c r="E287" s="173">
        <f t="array" ref="E287">SUM(MAP(E$25:E$29, F$25:F$29, LAMBDA(e,f, MIN(e, f))))
</f>
        <v>2875</v>
      </c>
      <c r="F287" s="174">
        <f>F30</f>
        <v>3263.75</v>
      </c>
      <c r="G287" s="175">
        <f>IFERROR(__xludf.DUMMYFUNCTION("SUMPRODUCT(--(C25:C29&lt;&gt;""Vacant-Unrented""),--(C25:C29&lt;&gt;""Vacant-Rented""),--((N(W25:W29)&gt;N(X25:X29))+N(REGEXMATCH(LOWER(C25:C29),""evict""))&gt;0))"),0.0)</f>
        <v>0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"),1.0)</f>
        <v>1</v>
      </c>
      <c r="I287" s="175">
        <v>5.0</v>
      </c>
      <c r="J287" s="179" t="s">
        <v>257</v>
      </c>
    </row>
    <row r="288" ht="18.0" customHeight="1">
      <c r="A288" s="169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0.08428571429</v>
      </c>
      <c r="E288" s="173">
        <f t="array" ref="E288">SUM(MAP(E$32:E$33, F$32:F$33, LAMBDA(e,f, MIN(e, f))))
</f>
        <v>1282</v>
      </c>
      <c r="F288" s="174">
        <f>F34</f>
        <v>1282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  <c r="J288" s="179" t="s">
        <v>259</v>
      </c>
    </row>
    <row r="289" ht="18.0" customHeight="1">
      <c r="A289" s="169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0.5</v>
      </c>
      <c r="E289" s="173">
        <f t="array" ref="E289">SUM(MAP(E$36:E$37, F$36:F$37, LAMBDA(e,f, MIN(e, f))))
</f>
        <v>1200</v>
      </c>
      <c r="F289" s="174">
        <f>F38</f>
        <v>1200</v>
      </c>
      <c r="G289" s="175">
        <f>IFERROR(__xludf.DUMMYFUNCTION("SUMPRODUCT(--(C40:C75&lt;&gt;""Vacant-Unrented""),--(C40:C75&lt;&gt;""Vacant-Rented""),--((N(W40:W75)&gt;N(X40:X75))+N(REGEXMATCH(LOWER(C40:C75),""evict""))&gt;0))"),0.0)</f>
        <v>0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  <c r="J289" s="179" t="s">
        <v>261</v>
      </c>
    </row>
    <row r="290" ht="18.0" customHeight="1">
      <c r="A290" s="180" t="s">
        <v>250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0.3310417172</v>
      </c>
      <c r="E290" s="173">
        <f t="array" ref="E290">SUM(MAP(E$40:E$75, F$40:F$75, LAMBDA(e,f, MIN(e, f))))
</f>
        <v>19322.86</v>
      </c>
      <c r="F290" s="174">
        <f>F76</f>
        <v>21832.45</v>
      </c>
      <c r="G290" s="175">
        <f>IFERROR(__xludf.DUMMYFUNCTION("SUMPRODUCT(--(C40:C75&lt;&gt;""Vacant-Unrented""),--(C40:C75&lt;&gt;""Vacant-Rented""),--((N(W40:W75)&gt;N(X40:X75))+N(REGEXMATCH(LOWER(C40:C75),""evict""))&gt;0))"),0.0)</f>
        <v>0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"),0.65625)</f>
        <v>0.65625</v>
      </c>
      <c r="I290" s="175">
        <v>36.0</v>
      </c>
      <c r="J290" s="179" t="s">
        <v>263</v>
      </c>
    </row>
    <row r="291" ht="18.0" customHeight="1">
      <c r="A291" s="169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"),0.725)</f>
        <v>0.725</v>
      </c>
      <c r="D291" s="172">
        <f t="array" ref="D291">SUM(MAP(E79:E129, F79:F129, LAMBDA(e,f, MAX(0, e-f)))) / SUM(E79:E129)
</f>
        <v>0.1642854767</v>
      </c>
      <c r="E291" s="173">
        <f t="array" ref="E291">SUM(MAP(E$78:E$128, F$78:F$128, LAMBDA(e,f, MIN(e, f))))
</f>
        <v>31861.34</v>
      </c>
      <c r="F291" s="174">
        <f>F129</f>
        <v>39379.08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"),2.0)</f>
        <v>2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"),0.7837837837837838)</f>
        <v>0.7837837838</v>
      </c>
      <c r="I291" s="175">
        <v>51.0</v>
      </c>
      <c r="J291" s="179" t="s">
        <v>265</v>
      </c>
    </row>
    <row r="292" ht="18.0" customHeight="1">
      <c r="A292" s="169" t="s">
        <v>252</v>
      </c>
      <c r="B292" s="170" t="s">
        <v>266</v>
      </c>
      <c r="C292" s="171">
        <f>IFERROR(__xludf.DUMMYFUNCTION("IF(ISNUMBER(SEARCH(""%"",C171)), VALUE(REGEXREPLACE(C171,""[^0-9.]"",""""))/100, VALUE(REGEXREPLACE(C171,""[^0-9.]"","""")))
"),0.85)</f>
        <v>0.85</v>
      </c>
      <c r="D292" s="172">
        <f t="array" ref="D292">SUM(MAP(E131:E170, F131:F170, LAMBDA(e,f, MAX(0, e-f)))) / SUM(E131:E170)
</f>
        <v>0.1359283435</v>
      </c>
      <c r="E292" s="173">
        <f t="array" ref="E292">SUM(MAP(E$131:E$170, F$131:F$170, LAMBDA(e,f, MIN(e, f))))
</f>
        <v>26673.46</v>
      </c>
      <c r="F292" s="174">
        <f>F171</f>
        <v>28478.89</v>
      </c>
      <c r="G292" s="175">
        <f>IFERROR(__xludf.DUMMYFUNCTION("SUMPRODUCT(--(C131:C170&lt;&gt;""Vacant-Unrented""),--(C131:C170&lt;&gt;""Vacant-Rented""),--((N(W131:W170)&gt;N(X131:X170))+N(REGEXMATCH(LOWER(C131:C170),""evict""))&gt;0))"),0.0)</f>
        <v>0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"),0.5588235294117647)</f>
        <v>0.5588235294</v>
      </c>
      <c r="I292" s="175">
        <v>40.0</v>
      </c>
      <c r="J292" s="179" t="s">
        <v>267</v>
      </c>
    </row>
    <row r="293" ht="18.0" customHeight="1">
      <c r="A293" s="180" t="s">
        <v>251</v>
      </c>
      <c r="B293" s="170" t="s">
        <v>268</v>
      </c>
      <c r="C293" s="171">
        <f>IFERROR(__xludf.DUMMYFUNCTION("IF(ISNUMBER(SEARCH(""%"",C195)), VALUE(REGEXREPLACE(C195,""[^0-9.]"",""""))/100, VALUE(REGEXREPLACE(C195,""[^0-9.]"","""")))
"),0.955)</f>
        <v>0.955</v>
      </c>
      <c r="D293" s="172">
        <f t="array" ref="D293">SUM(MAP(E174:E195, F174:F195, LAMBDA(e,f, MAX(0, e-f)))) / SUM(E174:E195)
</f>
        <v>0.2109009199</v>
      </c>
      <c r="E293" s="173">
        <f t="array" ref="E293">SUM(MAP(E$173:E$194, F$173:F$194, LAMBDA(e,f, MIN(e, f))))
</f>
        <v>12918.29</v>
      </c>
      <c r="F293" s="174">
        <f>F195</f>
        <v>14239.29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"),0.6190476190476191)</f>
        <v>0.619047619</v>
      </c>
      <c r="I293" s="175">
        <v>22.0</v>
      </c>
      <c r="J293" s="179" t="s">
        <v>269</v>
      </c>
    </row>
    <row r="294" ht="18.0" customHeight="1">
      <c r="A294" s="169" t="s">
        <v>252</v>
      </c>
      <c r="B294" s="170" t="s">
        <v>270</v>
      </c>
      <c r="C294" s="171">
        <f>IFERROR(__xludf.DUMMYFUNCTION("IF(ISNUMBER(SEARCH(""%"",C247)), VALUE(REGEXREPLACE(C247,""[^0-9.]"",""""))/100, VALUE(REGEXREPLACE(C247,""[^0-9.]"","""")))
"),0.9)</f>
        <v>0.9</v>
      </c>
      <c r="D294" s="172">
        <f t="array" ref="D294">SUM(MAP(E197:E246, F197:F246, LAMBDA(e,f, MAX(0, e-f)))) / SUM(E197:E246)
</f>
        <v>0.3525583754</v>
      </c>
      <c r="E294" s="173">
        <f t="array" ref="E294">SUM(MAP(E$197:E$246, F$197:F$246, LAMBDA(e,f, MIN(e, f))))
</f>
        <v>34595.59</v>
      </c>
      <c r="F294" s="174">
        <f>F247</f>
        <v>43484.59</v>
      </c>
      <c r="G294" s="175">
        <f>IFERROR(__xludf.DUMMYFUNCTION("SUMPRODUCT(--(C197:C246&lt;&gt;""Vacant-Unrented""),--(C197:C246&lt;&gt;""Vacant-Rented""),--((N(W197:W246)&gt;N(X197:X246))+N(REGEXMATCH(LOWER(C197:C246),""evict""))&gt;0))"),1.0)</f>
        <v>1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"),0.5555555555555556)</f>
        <v>0.5555555556</v>
      </c>
      <c r="I294" s="175">
        <v>50.0</v>
      </c>
      <c r="J294" s="179" t="s">
        <v>271</v>
      </c>
    </row>
    <row r="295" ht="18.0" customHeight="1">
      <c r="A295" s="180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0.1781432184</v>
      </c>
      <c r="E295" s="183">
        <f t="array" ref="E295">SUM(MAP(E$249:E$278, F$249:F$278, LAMBDA(e,f, MIN(e, f))))
</f>
        <v>17624.77</v>
      </c>
      <c r="F295" s="184">
        <f>F279</f>
        <v>18826</v>
      </c>
      <c r="G295" s="185">
        <f>IFERROR(__xludf.DUMMYFUNCTION("SUMPRODUCT(--(C249:C278&lt;&gt;""Vacant-Unrented""),--(C249:C278&lt;&gt;""Vacant-Rented""),--((N(W249:W278)&gt;N(X249:X278))+N(REGEXMATCH(LOWER(C249:C278),""evict""))&gt;0))"),0.0)</f>
        <v>0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"),0.8)</f>
        <v>0.8</v>
      </c>
      <c r="I295" s="175">
        <v>30.0</v>
      </c>
      <c r="J295" s="179" t="s">
        <v>273</v>
      </c>
    </row>
    <row r="296" ht="18.0" customHeight="1">
      <c r="A296" s="186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0)"),0.8681596958174904)</f>
        <v>0.8681596958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"),0.2535239007974388)</f>
        <v>0.2535239008</v>
      </c>
      <c r="E296" s="190">
        <f t="shared" ref="E296:G296" si="7">sum(E285:E295)</f>
        <v>156870.31</v>
      </c>
      <c r="F296" s="190">
        <f t="shared" si="7"/>
        <v>180503.05</v>
      </c>
      <c r="G296" s="191">
        <f t="shared" si="7"/>
        <v>3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"),0.6744186046511628)</f>
        <v>0.6744186047</v>
      </c>
      <c r="I296" s="193"/>
      <c r="J296" s="194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5"/>
    <col customWidth="1" min="7" max="7" width="31.25"/>
    <col customWidth="1" min="8" max="8" width="111.13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28" t="s">
        <v>10</v>
      </c>
    </row>
    <row r="2" ht="18.0" customHeight="1">
      <c r="A2" s="130" t="s">
        <v>308</v>
      </c>
    </row>
    <row r="3" ht="18.0" customHeight="1">
      <c r="A3" s="130"/>
    </row>
    <row r="4" ht="18.0" customHeight="1">
      <c r="A4" s="131" t="s">
        <v>309</v>
      </c>
    </row>
    <row r="5" ht="18.0" customHeight="1">
      <c r="A5" s="131" t="s">
        <v>310</v>
      </c>
    </row>
    <row r="6" ht="18.0" customHeight="1">
      <c r="A6" s="131" t="s">
        <v>311</v>
      </c>
    </row>
    <row r="7" ht="18.0" customHeight="1">
      <c r="A7" s="131" t="s">
        <v>312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928.75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0.0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47</v>
      </c>
      <c r="D14" s="135">
        <v>950.0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7"/>
      <c r="T14" s="137"/>
    </row>
    <row r="15" ht="18.0" customHeight="1">
      <c r="A15" s="138" t="s">
        <v>43</v>
      </c>
      <c r="B15" s="138"/>
      <c r="C15" s="138" t="s">
        <v>313</v>
      </c>
      <c r="D15" s="139">
        <v>3800.0</v>
      </c>
      <c r="E15" s="140">
        <v>2925.0</v>
      </c>
      <c r="F15" s="140">
        <v>928.75</v>
      </c>
      <c r="G15" s="140">
        <v>0.0</v>
      </c>
      <c r="H15" s="140">
        <v>0.0</v>
      </c>
      <c r="I15" s="140">
        <v>2532.0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980.0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46443.0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950.0</v>
      </c>
      <c r="F22" s="136">
        <v>0.0</v>
      </c>
      <c r="G22" s="136">
        <v>0.0</v>
      </c>
      <c r="H22" s="136">
        <v>0.0</v>
      </c>
      <c r="I22" s="136">
        <v>925.0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25.0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3675.0</v>
      </c>
      <c r="F23" s="140">
        <v>980.0</v>
      </c>
      <c r="G23" s="140">
        <v>0.0</v>
      </c>
      <c r="H23" s="140">
        <v>0.0</v>
      </c>
      <c r="I23" s="140">
        <v>3065.0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50.0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47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39</v>
      </c>
      <c r="D28" s="135">
        <v>621.0</v>
      </c>
      <c r="E28" s="136">
        <v>725.0</v>
      </c>
      <c r="F28" s="136">
        <v>1160.0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46431.0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1160.0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750.0</v>
      </c>
      <c r="F32" s="136">
        <v>92.0</v>
      </c>
      <c r="G32" s="136">
        <v>0.0</v>
      </c>
      <c r="H32" s="136">
        <v>0.0</v>
      </c>
      <c r="I32" s="136">
        <v>750.0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0.0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1400.0</v>
      </c>
      <c r="F34" s="140">
        <v>92.0</v>
      </c>
      <c r="G34" s="140">
        <v>0.0</v>
      </c>
      <c r="H34" s="140">
        <v>0.0</v>
      </c>
      <c r="I34" s="140">
        <v>1400.0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0.0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46356.0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46035.0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46023.0</v>
      </c>
      <c r="T44" s="137">
        <v>46568.0</v>
      </c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1086.25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46568.0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45954.0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0.0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46355.0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955.0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800.0</v>
      </c>
      <c r="F54" s="136">
        <v>0.0</v>
      </c>
      <c r="G54" s="136">
        <v>0.0</v>
      </c>
      <c r="H54" s="136">
        <v>0.0</v>
      </c>
      <c r="I54" s="136">
        <v>800.0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46387.0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902.5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46081.0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750.0</v>
      </c>
      <c r="F58" s="136">
        <v>0.0</v>
      </c>
      <c r="G58" s="136">
        <v>0.0</v>
      </c>
      <c r="H58" s="136">
        <v>0.0</v>
      </c>
      <c r="I58" s="136">
        <v>750.0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46022.0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1025.0</v>
      </c>
      <c r="F60" s="136">
        <v>262.88</v>
      </c>
      <c r="G60" s="136">
        <v>0.0</v>
      </c>
      <c r="H60" s="136">
        <v>0.0</v>
      </c>
      <c r="I60" s="136">
        <v>1025.0</v>
      </c>
      <c r="J60" s="136">
        <v>0.0</v>
      </c>
      <c r="K60" s="136">
        <v>0.0</v>
      </c>
      <c r="L60" s="136">
        <v>0.0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1104.5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39</v>
      </c>
      <c r="D65" s="135">
        <v>700.0</v>
      </c>
      <c r="E65" s="136">
        <v>825.0</v>
      </c>
      <c r="F65" s="136">
        <v>2137.5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46077.0</v>
      </c>
    </row>
    <row r="68" ht="18.0" customHeight="1">
      <c r="A68" s="134" t="s">
        <v>91</v>
      </c>
      <c r="B68" s="134" t="s">
        <v>38</v>
      </c>
      <c r="C68" s="134" t="s">
        <v>39</v>
      </c>
      <c r="D68" s="135">
        <v>950.0</v>
      </c>
      <c r="E68" s="136">
        <v>800.0</v>
      </c>
      <c r="F68" s="136">
        <v>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1477.32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750.0</v>
      </c>
      <c r="F70" s="136">
        <v>0.0</v>
      </c>
      <c r="G70" s="136">
        <v>0.0</v>
      </c>
      <c r="H70" s="136">
        <v>0.0</v>
      </c>
      <c r="I70" s="136">
        <v>750.0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1025.0</v>
      </c>
      <c r="F72" s="136">
        <v>-59.81</v>
      </c>
      <c r="G72" s="136">
        <v>0.0</v>
      </c>
      <c r="H72" s="136">
        <v>0.0</v>
      </c>
      <c r="I72" s="136">
        <v>1025.0</v>
      </c>
      <c r="J72" s="136">
        <v>0.0</v>
      </c>
      <c r="K72" s="136">
        <v>0.0</v>
      </c>
      <c r="L72" s="136">
        <v>0.0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0.0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46094.0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28885.0</v>
      </c>
      <c r="F76" s="140">
        <v>7866.14</v>
      </c>
      <c r="G76" s="140">
        <v>0.0</v>
      </c>
      <c r="H76" s="140">
        <v>0.0</v>
      </c>
      <c r="I76" s="140">
        <v>28820.0</v>
      </c>
      <c r="J76" s="140">
        <v>0.0</v>
      </c>
      <c r="K76" s="140">
        <v>0.0</v>
      </c>
      <c r="L76" s="140">
        <v>0.0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900.0</v>
      </c>
      <c r="F78" s="136">
        <v>0.0</v>
      </c>
      <c r="G78" s="136">
        <v>0.0</v>
      </c>
      <c r="H78" s="136">
        <v>0.0</v>
      </c>
      <c r="I78" s="136">
        <v>44.0</v>
      </c>
      <c r="J78" s="136">
        <v>0.0</v>
      </c>
      <c r="K78" s="136">
        <v>0.0</v>
      </c>
      <c r="L78" s="136">
        <v>856.0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47</v>
      </c>
      <c r="D79" s="135">
        <v>1400.0</v>
      </c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7"/>
      <c r="T79" s="137"/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107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46073.0</v>
      </c>
    </row>
    <row r="82" ht="18.0" customHeight="1">
      <c r="A82" s="134" t="s">
        <v>108</v>
      </c>
      <c r="B82" s="134" t="s">
        <v>104</v>
      </c>
      <c r="C82" s="134" t="s">
        <v>47</v>
      </c>
      <c r="D82" s="135">
        <v>1400.0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7"/>
      <c r="T82" s="137"/>
    </row>
    <row r="83" ht="18.0" customHeight="1">
      <c r="A83" s="134" t="s">
        <v>109</v>
      </c>
      <c r="B83" s="134" t="s">
        <v>38</v>
      </c>
      <c r="C83" s="134" t="s">
        <v>39</v>
      </c>
      <c r="D83" s="135">
        <v>1400.0</v>
      </c>
      <c r="E83" s="136">
        <v>1099.0</v>
      </c>
      <c r="F83" s="136">
        <v>0.0</v>
      </c>
      <c r="G83" s="136">
        <v>0.0</v>
      </c>
      <c r="H83" s="136">
        <v>0.0</v>
      </c>
      <c r="I83" s="136">
        <v>1099.0</v>
      </c>
      <c r="J83" s="136">
        <v>0.0</v>
      </c>
      <c r="K83" s="136">
        <v>0.0</v>
      </c>
      <c r="L83" s="136">
        <v>0.0</v>
      </c>
      <c r="M83" s="136">
        <v>0.0</v>
      </c>
      <c r="N83" s="136">
        <v>0.0</v>
      </c>
      <c r="O83" s="136">
        <v>0.0</v>
      </c>
      <c r="P83" s="136">
        <v>0.0</v>
      </c>
      <c r="Q83" s="136">
        <v>0.0</v>
      </c>
      <c r="R83" s="136">
        <v>0.0</v>
      </c>
      <c r="S83" s="137">
        <v>45992.0</v>
      </c>
      <c r="T83" s="137">
        <v>46356.0</v>
      </c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-10.01</v>
      </c>
      <c r="G84" s="136">
        <v>0.0</v>
      </c>
      <c r="H84" s="136">
        <v>0.0</v>
      </c>
      <c r="I84" s="136">
        <v>61.0</v>
      </c>
      <c r="J84" s="136">
        <v>0.0</v>
      </c>
      <c r="K84" s="136">
        <v>0.0</v>
      </c>
      <c r="L84" s="136">
        <v>839.0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39</v>
      </c>
      <c r="D86" s="135">
        <v>1400.0</v>
      </c>
      <c r="E86" s="136">
        <v>0.0</v>
      </c>
      <c r="F86" s="136">
        <v>0.0</v>
      </c>
      <c r="G86" s="136">
        <v>0.0</v>
      </c>
      <c r="H86" s="136">
        <v>0.0</v>
      </c>
      <c r="I86" s="136">
        <v>0.0</v>
      </c>
      <c r="J86" s="136">
        <v>0.0</v>
      </c>
      <c r="K86" s="136">
        <v>0.0</v>
      </c>
      <c r="L86" s="136">
        <v>0.0</v>
      </c>
      <c r="M86" s="136">
        <v>0.0</v>
      </c>
      <c r="N86" s="136">
        <v>0.0</v>
      </c>
      <c r="O86" s="136">
        <v>0.0</v>
      </c>
      <c r="P86" s="136">
        <v>0.0</v>
      </c>
      <c r="Q86" s="136">
        <v>0.0</v>
      </c>
      <c r="R86" s="136">
        <v>0.0</v>
      </c>
      <c r="S86" s="137"/>
      <c r="T86" s="137"/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1055.0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1550.0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1100.0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47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39</v>
      </c>
      <c r="D93" s="135">
        <v>1400.0</v>
      </c>
      <c r="E93" s="136">
        <v>1150.0</v>
      </c>
      <c r="F93" s="136">
        <v>35.0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41.0</v>
      </c>
      <c r="G95" s="136">
        <v>0.0</v>
      </c>
      <c r="H95" s="136">
        <v>0.0</v>
      </c>
      <c r="I95" s="136">
        <v>280.0</v>
      </c>
      <c r="J95" s="136">
        <v>0.0</v>
      </c>
      <c r="K95" s="136">
        <v>0.0</v>
      </c>
      <c r="L95" s="136">
        <v>620.0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115</v>
      </c>
      <c r="C96" s="134" t="s">
        <v>47</v>
      </c>
      <c r="D96" s="135">
        <v>1400.0</v>
      </c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7"/>
      <c r="T96" s="137"/>
    </row>
    <row r="97" ht="18.0" customHeight="1">
      <c r="A97" s="134" t="s">
        <v>124</v>
      </c>
      <c r="B97" s="134" t="s">
        <v>115</v>
      </c>
      <c r="C97" s="134" t="s">
        <v>178</v>
      </c>
      <c r="D97" s="135">
        <v>1400.0</v>
      </c>
      <c r="E97" s="136">
        <v>1300.0</v>
      </c>
      <c r="F97" s="136">
        <v>4010.0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-50.0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1427.5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>
        <v>46356.0</v>
      </c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981.25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297</v>
      </c>
      <c r="D108" s="135">
        <v>1400.0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7"/>
      <c r="T108" s="137"/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47</v>
      </c>
      <c r="D113" s="135">
        <v>1400.0</v>
      </c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7"/>
      <c r="T113" s="137"/>
    </row>
    <row r="114" ht="18.0" customHeight="1">
      <c r="A114" s="134" t="s">
        <v>141</v>
      </c>
      <c r="B114" s="134" t="s">
        <v>38</v>
      </c>
      <c r="C114" s="134" t="s">
        <v>178</v>
      </c>
      <c r="D114" s="135">
        <v>1400.0</v>
      </c>
      <c r="E114" s="136">
        <v>900.0</v>
      </c>
      <c r="F114" s="136">
        <v>3600.0</v>
      </c>
      <c r="G114" s="136">
        <v>0.0</v>
      </c>
      <c r="H114" s="136">
        <v>0.0</v>
      </c>
      <c r="I114" s="136">
        <v>0.0</v>
      </c>
      <c r="J114" s="136">
        <v>0.0</v>
      </c>
      <c r="K114" s="136">
        <v>0.0</v>
      </c>
      <c r="L114" s="136">
        <v>900.0</v>
      </c>
      <c r="M114" s="136">
        <v>0.0</v>
      </c>
      <c r="N114" s="136">
        <v>0.0</v>
      </c>
      <c r="O114" s="136">
        <v>0.0</v>
      </c>
      <c r="P114" s="136">
        <v>0.0</v>
      </c>
      <c r="Q114" s="136">
        <v>0.0</v>
      </c>
      <c r="R114" s="136">
        <v>0.0</v>
      </c>
      <c r="S114" s="137">
        <v>45231.0</v>
      </c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1165.0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45992.0</v>
      </c>
      <c r="T115" s="137">
        <v>46356.0</v>
      </c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-83.0</v>
      </c>
      <c r="G116" s="136">
        <v>0.0</v>
      </c>
      <c r="H116" s="136">
        <v>0.0</v>
      </c>
      <c r="I116" s="136">
        <v>89.0</v>
      </c>
      <c r="J116" s="136">
        <v>0.0</v>
      </c>
      <c r="K116" s="136">
        <v>0.0</v>
      </c>
      <c r="L116" s="136">
        <v>886.0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45992.0</v>
      </c>
      <c r="T116" s="137">
        <v>46356.0</v>
      </c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0.0</v>
      </c>
      <c r="G118" s="136">
        <v>0.0</v>
      </c>
      <c r="H118" s="136">
        <v>0.0</v>
      </c>
      <c r="I118" s="136">
        <v>334.0</v>
      </c>
      <c r="J118" s="136">
        <v>0.0</v>
      </c>
      <c r="K118" s="136">
        <v>0.0</v>
      </c>
      <c r="L118" s="136">
        <v>1016.0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1049.5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1060.0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1054.75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1400.0</v>
      </c>
      <c r="F125" s="136">
        <v>-148.0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50.0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1427.5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107</v>
      </c>
      <c r="D128" s="135">
        <v>1400.0</v>
      </c>
      <c r="E128" s="136">
        <v>1000.0</v>
      </c>
      <c r="F128" s="136">
        <v>1060.0</v>
      </c>
      <c r="G128" s="136">
        <v>0.0</v>
      </c>
      <c r="H128" s="136">
        <v>0.0</v>
      </c>
      <c r="I128" s="136">
        <v>1000.0</v>
      </c>
      <c r="J128" s="136">
        <v>0.0</v>
      </c>
      <c r="K128" s="136">
        <v>0.0</v>
      </c>
      <c r="L128" s="136">
        <v>0.0</v>
      </c>
      <c r="M128" s="136">
        <v>0.0</v>
      </c>
      <c r="N128" s="136">
        <v>0.0</v>
      </c>
      <c r="O128" s="136">
        <v>0.0</v>
      </c>
      <c r="P128" s="136">
        <v>0.0</v>
      </c>
      <c r="Q128" s="136">
        <v>0.0</v>
      </c>
      <c r="R128" s="136">
        <v>0.0</v>
      </c>
      <c r="S128" s="137">
        <v>44927.0</v>
      </c>
      <c r="T128" s="137"/>
    </row>
    <row r="129" ht="18.0" customHeight="1">
      <c r="A129" s="138" t="s">
        <v>156</v>
      </c>
      <c r="B129" s="138"/>
      <c r="C129" s="138" t="s">
        <v>304</v>
      </c>
      <c r="D129" s="139">
        <v>71400.0</v>
      </c>
      <c r="E129" s="140">
        <v>41284.0</v>
      </c>
      <c r="F129" s="140">
        <v>20325.49</v>
      </c>
      <c r="G129" s="140">
        <v>0.0</v>
      </c>
      <c r="H129" s="140">
        <v>0.0</v>
      </c>
      <c r="I129" s="140">
        <v>33377.0</v>
      </c>
      <c r="J129" s="140">
        <v>0.0</v>
      </c>
      <c r="K129" s="140">
        <v>0.0</v>
      </c>
      <c r="L129" s="140">
        <v>7857.0</v>
      </c>
      <c r="M129" s="140">
        <v>0.0</v>
      </c>
      <c r="N129" s="140">
        <v>0.0</v>
      </c>
      <c r="O129" s="140">
        <v>50.0</v>
      </c>
      <c r="P129" s="140">
        <v>0.0</v>
      </c>
      <c r="Q129" s="140">
        <v>0.0</v>
      </c>
      <c r="R129" s="140">
        <v>0.0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0.0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900.0</v>
      </c>
      <c r="G132" s="136">
        <v>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900.0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0.0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-10.0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-100.0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0.0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47</v>
      </c>
      <c r="D138" s="135">
        <v>800.0</v>
      </c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7"/>
      <c r="T138" s="137"/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1050.0</v>
      </c>
      <c r="F139" s="136">
        <v>312.5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1000.0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/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172.0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1225.0</v>
      </c>
      <c r="F141" s="136">
        <v>0.0</v>
      </c>
      <c r="G141" s="136">
        <v>0.0</v>
      </c>
      <c r="H141" s="136">
        <v>50.0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1230.0</v>
      </c>
      <c r="F143" s="136">
        <v>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1150.0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/>
    </row>
    <row r="144" ht="18.0" customHeight="1">
      <c r="A144" s="134" t="s">
        <v>173</v>
      </c>
      <c r="B144" s="134" t="s">
        <v>168</v>
      </c>
      <c r="C144" s="134" t="s">
        <v>39</v>
      </c>
      <c r="D144" s="135">
        <v>1000.0</v>
      </c>
      <c r="E144" s="136">
        <v>1125.0</v>
      </c>
      <c r="F144" s="136">
        <v>0.0</v>
      </c>
      <c r="G144" s="136">
        <v>0.0</v>
      </c>
      <c r="H144" s="136">
        <v>0.0</v>
      </c>
      <c r="I144" s="136">
        <v>1125.0</v>
      </c>
      <c r="J144" s="136">
        <v>0.0</v>
      </c>
      <c r="K144" s="136">
        <v>0.0</v>
      </c>
      <c r="L144" s="136">
        <v>0.0</v>
      </c>
      <c r="M144" s="136">
        <v>0.0</v>
      </c>
      <c r="N144" s="136">
        <v>0.0</v>
      </c>
      <c r="O144" s="136">
        <v>0.0</v>
      </c>
      <c r="P144" s="136">
        <v>0.0</v>
      </c>
      <c r="Q144" s="136">
        <v>0.0</v>
      </c>
      <c r="R144" s="136">
        <v>0.0</v>
      </c>
      <c r="S144" s="137">
        <v>45996.0</v>
      </c>
      <c r="T144" s="137">
        <v>46356.0</v>
      </c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421.0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46568.0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444.9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0.0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0.0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955.0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>
        <v>46356.0</v>
      </c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800.0</v>
      </c>
      <c r="F153" s="136">
        <v>-466.0</v>
      </c>
      <c r="G153" s="136">
        <v>0.0</v>
      </c>
      <c r="H153" s="136">
        <v>0.0</v>
      </c>
      <c r="I153" s="136">
        <v>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/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1723.43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343.0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>
        <v>46418.0</v>
      </c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0.0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>
        <v>46326.0</v>
      </c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0.0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47</v>
      </c>
      <c r="D159" s="135">
        <v>850.0</v>
      </c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7"/>
      <c r="T159" s="137"/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0.0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/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965.5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/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384.85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5.0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0.0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0.0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39</v>
      </c>
      <c r="D166" s="135">
        <v>850.0</v>
      </c>
      <c r="E166" s="136">
        <v>1000.0</v>
      </c>
      <c r="F166" s="136">
        <v>1060.0</v>
      </c>
      <c r="G166" s="136">
        <v>0.0</v>
      </c>
      <c r="H166" s="136">
        <v>0.0</v>
      </c>
      <c r="I166" s="136">
        <v>1000.0</v>
      </c>
      <c r="J166" s="136">
        <v>0.0</v>
      </c>
      <c r="K166" s="136">
        <v>0.0</v>
      </c>
      <c r="L166" s="136">
        <v>0.0</v>
      </c>
      <c r="M166" s="136">
        <v>0.0</v>
      </c>
      <c r="N166" s="136">
        <v>0.0</v>
      </c>
      <c r="O166" s="136">
        <v>0.0</v>
      </c>
      <c r="P166" s="136">
        <v>0.0</v>
      </c>
      <c r="Q166" s="136">
        <v>0.0</v>
      </c>
      <c r="R166" s="136">
        <v>0.0</v>
      </c>
      <c r="S166" s="137">
        <v>45786.0</v>
      </c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46387.0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843.0</v>
      </c>
      <c r="F168" s="136">
        <v>436.3</v>
      </c>
      <c r="G168" s="136">
        <v>0.0</v>
      </c>
      <c r="H168" s="136">
        <v>0.0</v>
      </c>
      <c r="I168" s="136">
        <v>406.0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437.0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46387.0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900.0</v>
      </c>
      <c r="F169" s="136">
        <v>0.0</v>
      </c>
      <c r="G169" s="136">
        <v>0.0</v>
      </c>
      <c r="H169" s="136">
        <v>0.0</v>
      </c>
      <c r="I169" s="136">
        <v>900.0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/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280</v>
      </c>
      <c r="D171" s="139">
        <v>34800.0</v>
      </c>
      <c r="E171" s="140">
        <v>32994.5</v>
      </c>
      <c r="F171" s="140">
        <v>7547.48</v>
      </c>
      <c r="G171" s="140">
        <v>0.0</v>
      </c>
      <c r="H171" s="140">
        <v>180.0</v>
      </c>
      <c r="I171" s="140">
        <v>16210.0</v>
      </c>
      <c r="J171" s="140">
        <v>0.0</v>
      </c>
      <c r="K171" s="140">
        <v>4491.0</v>
      </c>
      <c r="L171" s="140">
        <v>900.0</v>
      </c>
      <c r="M171" s="140">
        <v>1958.0</v>
      </c>
      <c r="N171" s="140">
        <v>9120.0</v>
      </c>
      <c r="O171" s="140">
        <v>125.0</v>
      </c>
      <c r="P171" s="140">
        <v>0.0</v>
      </c>
      <c r="Q171" s="140">
        <v>0.0</v>
      </c>
      <c r="R171" s="140">
        <v>10.5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1017.5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1018.5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0.0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178.0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955.0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850.0</v>
      </c>
      <c r="F190" s="136">
        <v>-203.48</v>
      </c>
      <c r="G190" s="136">
        <v>0.0</v>
      </c>
      <c r="H190" s="136">
        <v>0.0</v>
      </c>
      <c r="I190" s="136">
        <v>850.0</v>
      </c>
      <c r="J190" s="136">
        <v>0.0</v>
      </c>
      <c r="K190" s="136">
        <v>0.0</v>
      </c>
      <c r="L190" s="136">
        <v>0.0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47</v>
      </c>
      <c r="D192" s="135">
        <v>825.0</v>
      </c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7"/>
      <c r="T192" s="137"/>
    </row>
    <row r="193" ht="18.0" customHeight="1">
      <c r="A193" s="134" t="s">
        <v>224</v>
      </c>
      <c r="B193" s="134" t="s">
        <v>56</v>
      </c>
      <c r="C193" s="134" t="s">
        <v>39</v>
      </c>
      <c r="D193" s="135">
        <v>750.0</v>
      </c>
      <c r="E193" s="136">
        <v>840.0</v>
      </c>
      <c r="F193" s="136">
        <v>0.0</v>
      </c>
      <c r="G193" s="136">
        <v>0.0</v>
      </c>
      <c r="H193" s="136">
        <v>0.0</v>
      </c>
      <c r="I193" s="136">
        <v>800.0</v>
      </c>
      <c r="J193" s="136">
        <v>0.0</v>
      </c>
      <c r="K193" s="136">
        <v>0.0</v>
      </c>
      <c r="L193" s="136">
        <v>0.0</v>
      </c>
      <c r="M193" s="136">
        <v>0.0</v>
      </c>
      <c r="N193" s="136">
        <v>0.0</v>
      </c>
      <c r="O193" s="136">
        <v>25.0</v>
      </c>
      <c r="P193" s="136">
        <v>0.0</v>
      </c>
      <c r="Q193" s="136">
        <v>0.0</v>
      </c>
      <c r="R193" s="136">
        <v>15.0</v>
      </c>
      <c r="S193" s="137">
        <v>45987.0</v>
      </c>
      <c r="T193" s="137">
        <v>46326.0</v>
      </c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750.0</v>
      </c>
      <c r="F194" s="136">
        <v>-775.0</v>
      </c>
      <c r="G194" s="136">
        <v>0.0</v>
      </c>
      <c r="H194" s="136">
        <v>0.0</v>
      </c>
      <c r="I194" s="136">
        <v>750.0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/>
    </row>
    <row r="195" ht="18.0" customHeight="1">
      <c r="A195" s="138" t="s">
        <v>226</v>
      </c>
      <c r="B195" s="138"/>
      <c r="C195" s="138" t="s">
        <v>306</v>
      </c>
      <c r="D195" s="139">
        <v>17550.0</v>
      </c>
      <c r="E195" s="140">
        <v>17075.0</v>
      </c>
      <c r="F195" s="140">
        <v>2190.52</v>
      </c>
      <c r="G195" s="140">
        <v>0.0</v>
      </c>
      <c r="H195" s="140">
        <v>0.0</v>
      </c>
      <c r="I195" s="140">
        <v>17035.0</v>
      </c>
      <c r="J195" s="140">
        <v>0.0</v>
      </c>
      <c r="K195" s="140">
        <v>0.0</v>
      </c>
      <c r="L195" s="140">
        <v>0.0</v>
      </c>
      <c r="M195" s="140">
        <v>0.0</v>
      </c>
      <c r="N195" s="140">
        <v>0.0</v>
      </c>
      <c r="O195" s="140">
        <v>25.0</v>
      </c>
      <c r="P195" s="140">
        <v>0.0</v>
      </c>
      <c r="Q195" s="140">
        <v>0.0</v>
      </c>
      <c r="R195" s="140">
        <v>15.0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0.0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13.0</v>
      </c>
      <c r="G199" s="136">
        <v>0.0</v>
      </c>
      <c r="H199" s="136">
        <v>225.0</v>
      </c>
      <c r="I199" s="136">
        <v>91.0</v>
      </c>
      <c r="J199" s="136">
        <v>0.0</v>
      </c>
      <c r="K199" s="136">
        <v>0.0</v>
      </c>
      <c r="L199" s="136">
        <v>934.0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1175.0</v>
      </c>
      <c r="F200" s="136">
        <v>498.25</v>
      </c>
      <c r="G200" s="136">
        <v>0.0</v>
      </c>
      <c r="H200" s="136">
        <v>225.0</v>
      </c>
      <c r="I200" s="136">
        <v>950.0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-924.0</v>
      </c>
      <c r="G202" s="136">
        <v>0.0</v>
      </c>
      <c r="H202" s="136">
        <v>225.0</v>
      </c>
      <c r="I202" s="136">
        <v>135.0</v>
      </c>
      <c r="J202" s="136">
        <v>0.0</v>
      </c>
      <c r="K202" s="136">
        <v>0.0</v>
      </c>
      <c r="L202" s="136">
        <v>890.0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1279.51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1220.0</v>
      </c>
      <c r="F207" s="136">
        <v>-19.26</v>
      </c>
      <c r="G207" s="136">
        <v>0.0</v>
      </c>
      <c r="H207" s="136">
        <v>225.0</v>
      </c>
      <c r="I207" s="136">
        <v>995.0</v>
      </c>
      <c r="J207" s="136">
        <v>0.0</v>
      </c>
      <c r="K207" s="136">
        <v>0.0</v>
      </c>
      <c r="L207" s="136">
        <v>0.0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-91.25</v>
      </c>
      <c r="G208" s="136">
        <v>0.0</v>
      </c>
      <c r="H208" s="136">
        <v>225.0</v>
      </c>
      <c r="I208" s="136">
        <v>120.0</v>
      </c>
      <c r="J208" s="136">
        <v>0.0</v>
      </c>
      <c r="K208" s="136">
        <v>0.0</v>
      </c>
      <c r="L208" s="136">
        <v>905.0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1250.0</v>
      </c>
      <c r="F211" s="136">
        <v>-2.0</v>
      </c>
      <c r="G211" s="136">
        <v>0.0</v>
      </c>
      <c r="H211" s="136">
        <v>225.0</v>
      </c>
      <c r="I211" s="136">
        <v>1025.0</v>
      </c>
      <c r="J211" s="136">
        <v>0.0</v>
      </c>
      <c r="K211" s="136">
        <v>0.0</v>
      </c>
      <c r="L211" s="136">
        <v>0.0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275.25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119.82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46006.0</v>
      </c>
    </row>
    <row r="217" ht="18.0" customHeight="1">
      <c r="A217" s="134" t="s">
        <v>84</v>
      </c>
      <c r="B217" s="134" t="s">
        <v>38</v>
      </c>
      <c r="C217" s="134" t="s">
        <v>178</v>
      </c>
      <c r="D217" s="135">
        <v>825.0</v>
      </c>
      <c r="E217" s="136">
        <v>1250.0</v>
      </c>
      <c r="F217" s="136">
        <v>5927.25</v>
      </c>
      <c r="G217" s="136">
        <v>0.0</v>
      </c>
      <c r="H217" s="136">
        <v>225.0</v>
      </c>
      <c r="I217" s="136">
        <v>1025.0</v>
      </c>
      <c r="J217" s="136">
        <v>0.0</v>
      </c>
      <c r="K217" s="136">
        <v>0.0</v>
      </c>
      <c r="L217" s="136">
        <v>0.0</v>
      </c>
      <c r="M217" s="136">
        <v>0.0</v>
      </c>
      <c r="N217" s="136">
        <v>0.0</v>
      </c>
      <c r="O217" s="136">
        <v>0.0</v>
      </c>
      <c r="P217" s="136">
        <v>0.0</v>
      </c>
      <c r="Q217" s="136">
        <v>0.0</v>
      </c>
      <c r="R217" s="136">
        <v>0.0</v>
      </c>
      <c r="S217" s="137">
        <v>45483.0</v>
      </c>
      <c r="T217" s="137">
        <v>46031.0</v>
      </c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0.0</v>
      </c>
      <c r="G222" s="136">
        <v>0.0</v>
      </c>
      <c r="H222" s="136">
        <v>225.0</v>
      </c>
      <c r="I222" s="136">
        <v>659.0</v>
      </c>
      <c r="J222" s="136">
        <v>0.0</v>
      </c>
      <c r="K222" s="136">
        <v>0.0</v>
      </c>
      <c r="L222" s="136">
        <v>416.0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46081.0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1250.0</v>
      </c>
      <c r="F225" s="136">
        <v>1311.25</v>
      </c>
      <c r="G225" s="136">
        <v>0.0</v>
      </c>
      <c r="H225" s="136">
        <v>225.0</v>
      </c>
      <c r="I225" s="136">
        <v>1025.0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/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1125.0</v>
      </c>
      <c r="F226" s="136">
        <v>0.0</v>
      </c>
      <c r="G226" s="136">
        <v>0.0</v>
      </c>
      <c r="H226" s="136">
        <v>225.0</v>
      </c>
      <c r="I226" s="136">
        <v>900.0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46022.0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1183.75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-20.0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46091.0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1799.5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472.0</v>
      </c>
      <c r="G233" s="136">
        <v>0.0</v>
      </c>
      <c r="H233" s="136">
        <v>225.0</v>
      </c>
      <c r="I233" s="136">
        <v>424.0</v>
      </c>
      <c r="J233" s="136">
        <v>0.0</v>
      </c>
      <c r="K233" s="136">
        <v>0.0</v>
      </c>
      <c r="L233" s="136">
        <v>601.0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343.7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47</v>
      </c>
      <c r="D236" s="135">
        <v>825.0</v>
      </c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7"/>
      <c r="T236" s="137"/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1012.0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39</v>
      </c>
      <c r="D238" s="135">
        <v>825.0</v>
      </c>
      <c r="E238" s="136">
        <v>1250.0</v>
      </c>
      <c r="F238" s="136">
        <v>795.65</v>
      </c>
      <c r="G238" s="136">
        <v>0.0</v>
      </c>
      <c r="H238" s="136">
        <v>225.0</v>
      </c>
      <c r="I238" s="136">
        <v>1025.0</v>
      </c>
      <c r="J238" s="136">
        <v>0.0</v>
      </c>
      <c r="K238" s="136">
        <v>0.0</v>
      </c>
      <c r="L238" s="136">
        <v>0.0</v>
      </c>
      <c r="M238" s="136">
        <v>0.0</v>
      </c>
      <c r="N238" s="136">
        <v>0.0</v>
      </c>
      <c r="O238" s="136">
        <v>0.0</v>
      </c>
      <c r="P238" s="136">
        <v>0.0</v>
      </c>
      <c r="Q238" s="136">
        <v>0.0</v>
      </c>
      <c r="R238" s="136">
        <v>0.0</v>
      </c>
      <c r="S238" s="137">
        <v>45139.0</v>
      </c>
      <c r="T238" s="137">
        <v>45987.0</v>
      </c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-2275.0</v>
      </c>
      <c r="G239" s="136">
        <v>0.0</v>
      </c>
      <c r="H239" s="136">
        <v>125.0</v>
      </c>
      <c r="I239" s="136">
        <v>150.0</v>
      </c>
      <c r="J239" s="136">
        <v>0.0</v>
      </c>
      <c r="K239" s="136">
        <v>0.0</v>
      </c>
      <c r="L239" s="136">
        <v>723.0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1250.0</v>
      </c>
      <c r="F240" s="136">
        <v>2102.2</v>
      </c>
      <c r="G240" s="136">
        <v>0.0</v>
      </c>
      <c r="H240" s="136">
        <v>225.0</v>
      </c>
      <c r="I240" s="136">
        <v>4.0</v>
      </c>
      <c r="J240" s="136">
        <v>0.0</v>
      </c>
      <c r="K240" s="136">
        <v>0.0</v>
      </c>
      <c r="L240" s="136">
        <v>1021.0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>
        <v>46302.0</v>
      </c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0.0</v>
      </c>
      <c r="G241" s="136">
        <v>0.0</v>
      </c>
      <c r="H241" s="136">
        <v>225.0</v>
      </c>
      <c r="I241" s="136">
        <v>108.0</v>
      </c>
      <c r="J241" s="136">
        <v>0.0</v>
      </c>
      <c r="K241" s="136">
        <v>0.0</v>
      </c>
      <c r="L241" s="136">
        <v>917.0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793.54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/>
    </row>
    <row r="247" ht="18.0" customHeight="1">
      <c r="A247" s="138" t="s">
        <v>244</v>
      </c>
      <c r="B247" s="138"/>
      <c r="C247" s="138" t="s">
        <v>314</v>
      </c>
      <c r="D247" s="139">
        <v>40350.0</v>
      </c>
      <c r="E247" s="140">
        <v>52234.3</v>
      </c>
      <c r="F247" s="140">
        <v>14440.16</v>
      </c>
      <c r="G247" s="140">
        <v>0.0</v>
      </c>
      <c r="H247" s="140">
        <v>8870.8</v>
      </c>
      <c r="I247" s="140">
        <v>35206.5</v>
      </c>
      <c r="J247" s="140">
        <v>0.0</v>
      </c>
      <c r="K247" s="140">
        <v>0.0</v>
      </c>
      <c r="L247" s="140">
        <v>8067.0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700.0</v>
      </c>
      <c r="F249" s="136">
        <v>337.42</v>
      </c>
      <c r="G249" s="136">
        <v>0.0</v>
      </c>
      <c r="H249" s="136">
        <v>0.0</v>
      </c>
      <c r="I249" s="136">
        <v>215.0</v>
      </c>
      <c r="J249" s="136">
        <v>485.0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0.0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46081.0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0.0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0.0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46112.0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0.0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0.0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-825.0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0.0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46477.0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-57.07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0.0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0.0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899.04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0.0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39</v>
      </c>
      <c r="D262" s="135">
        <v>675.0</v>
      </c>
      <c r="E262" s="136">
        <v>775.0</v>
      </c>
      <c r="F262" s="136">
        <v>789.4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700.0</v>
      </c>
      <c r="F263" s="136">
        <v>130.61</v>
      </c>
      <c r="G263" s="136">
        <v>0.0</v>
      </c>
      <c r="H263" s="136">
        <v>0.0</v>
      </c>
      <c r="I263" s="136">
        <v>700.0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>
        <v>46356.0</v>
      </c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0.0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46082.0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-36.83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567.55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-100.0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46403.0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0.0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46418.0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575.0</v>
      </c>
      <c r="F269" s="136">
        <v>-100.0</v>
      </c>
      <c r="G269" s="136">
        <v>0.0</v>
      </c>
      <c r="H269" s="136">
        <v>0.0</v>
      </c>
      <c r="I269" s="136">
        <v>575.0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0.0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0.0</v>
      </c>
      <c r="G271" s="136">
        <v>0.0</v>
      </c>
      <c r="H271" s="136">
        <v>0.0</v>
      </c>
      <c r="I271" s="136">
        <v>56.0</v>
      </c>
      <c r="J271" s="136">
        <v>694.0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46029.0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0.0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46326.0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-582.0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118.17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0.0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750.0</v>
      </c>
      <c r="F276" s="136">
        <v>0.0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0.0</v>
      </c>
      <c r="S276" s="137">
        <v>44742.0</v>
      </c>
      <c r="T276" s="137">
        <v>46203.0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0.0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807.36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46294.0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22100.0</v>
      </c>
      <c r="F279" s="140">
        <v>1948.65</v>
      </c>
      <c r="G279" s="140">
        <v>0.0</v>
      </c>
      <c r="H279" s="140">
        <v>0.0</v>
      </c>
      <c r="I279" s="140">
        <v>18819.0</v>
      </c>
      <c r="J279" s="140">
        <v>3231.0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0.0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307</v>
      </c>
      <c r="D281" s="139">
        <v>229909.0</v>
      </c>
      <c r="E281" s="140">
        <v>207897.8</v>
      </c>
      <c r="F281" s="140">
        <v>57479.19</v>
      </c>
      <c r="G281" s="140">
        <v>0.0</v>
      </c>
      <c r="H281" s="140">
        <v>9050.8</v>
      </c>
      <c r="I281" s="140">
        <v>161789.5</v>
      </c>
      <c r="J281" s="140">
        <v>4159.0</v>
      </c>
      <c r="K281" s="140">
        <v>4491.0</v>
      </c>
      <c r="L281" s="140">
        <v>16824.0</v>
      </c>
      <c r="M281" s="140">
        <v>1958.0</v>
      </c>
      <c r="N281" s="140">
        <v>9120.0</v>
      </c>
      <c r="O281" s="140">
        <v>425.0</v>
      </c>
      <c r="P281" s="140">
        <v>25.0</v>
      </c>
      <c r="Q281" s="140">
        <v>15.0</v>
      </c>
      <c r="R281" s="140">
        <v>40.5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0.9059529412</v>
      </c>
      <c r="D282" s="145">
        <f t="shared" ref="D282:D284" si="2">IFERROR(
  SUMPRODUCT((A$285:A$295=A282)*D$285:D$295*I$285:I$295) /
  SUMPRODUCT((A$285:A$295=A282)*I$285:I$295),
0)</f>
        <v>0.8402106438</v>
      </c>
      <c r="E282" s="146">
        <f t="shared" ref="E282:E284" si="3">IFERROR(
  SUMPRODUCT((A$285:A$295=A282)*E$285:E$295),
0)
</f>
        <v>10167.92</v>
      </c>
      <c r="F282" s="147">
        <f t="shared" ref="F282:F284" si="4">IFERROR(
  SUMPRODUCT((A$285:A$295=A282)*F$285:F$295),
0)
</f>
        <v>12975.54</v>
      </c>
      <c r="G282" s="148">
        <f t="shared" ref="G282:G284" si="5">IFERROR(
  SUMPRODUCT((A$285:A$295=A282)*G$285:G$295),
0)
</f>
        <v>0</v>
      </c>
      <c r="H282" s="149">
        <f t="shared" ref="H282:H284" si="6">IFERROR(
  SUMPRODUCT((A$285:A$295=A282)*H$285:H$295*I$285:I$295) /
  SUMPRODUCT((A$285:A$295=A282)*I$285:I$295),
0)</f>
        <v>0.7911764706</v>
      </c>
    </row>
    <row r="283" ht="18.0" customHeight="1">
      <c r="A283" s="152" t="s">
        <v>251</v>
      </c>
      <c r="B283" s="153"/>
      <c r="C283" s="154">
        <f t="shared" si="1"/>
        <v>0.7943150685</v>
      </c>
      <c r="D283" s="155">
        <f t="shared" si="2"/>
        <v>0.6723095794</v>
      </c>
      <c r="E283" s="156">
        <f t="shared" si="3"/>
        <v>15559.26</v>
      </c>
      <c r="F283" s="157">
        <f t="shared" si="4"/>
        <v>22516.01</v>
      </c>
      <c r="G283" s="158">
        <f t="shared" si="5"/>
        <v>2</v>
      </c>
      <c r="H283" s="149">
        <f t="shared" si="6"/>
        <v>0.7341372684</v>
      </c>
    </row>
    <row r="284" ht="18.0" customHeight="1">
      <c r="A284" s="160" t="s">
        <v>252</v>
      </c>
      <c r="B284" s="161"/>
      <c r="C284" s="162">
        <f t="shared" si="1"/>
        <v>0.8888888889</v>
      </c>
      <c r="D284" s="163">
        <f t="shared" si="2"/>
        <v>0.8250077368</v>
      </c>
      <c r="E284" s="164">
        <f t="shared" si="3"/>
        <v>14703.51</v>
      </c>
      <c r="F284" s="165">
        <f t="shared" si="4"/>
        <v>21987.64</v>
      </c>
      <c r="G284" s="166">
        <f t="shared" si="5"/>
        <v>1</v>
      </c>
      <c r="H284" s="149">
        <f t="shared" si="6"/>
        <v>0.5499438833</v>
      </c>
    </row>
    <row r="285" ht="18.0" customHeight="1">
      <c r="A285" s="169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"),0.75)</f>
        <v>0.75</v>
      </c>
      <c r="D285" s="172">
        <f t="array" ref="D285">SUM(MAP(E11:E14, F11:F14, LAMBDA(e,f, MAX(0, e-f)))) / SUM(E11:E14)
</f>
        <v>0.7008547009</v>
      </c>
      <c r="E285" s="173">
        <f t="array" ref="E285">SUM(MAP(E$11:E$14, F$11:F$14, LAMBDA(e,f, MIN(e, f))))
</f>
        <v>875</v>
      </c>
      <c r="F285" s="174">
        <f>F15</f>
        <v>928.75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"),1.0)</f>
        <v>1</v>
      </c>
      <c r="I285" s="175">
        <v>4.0</v>
      </c>
      <c r="J285" s="177">
        <v>46340.0</v>
      </c>
    </row>
    <row r="286" ht="18.0" customHeight="1">
      <c r="A286" s="169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0.7482993197</v>
      </c>
      <c r="E286" s="173">
        <f t="array" ref="E286">SUM(MAP(E$17:E$22, F$17:F$22, LAMBDA(e,f, MIN(e, f))))
</f>
        <v>925</v>
      </c>
      <c r="F286" s="174">
        <f>F23</f>
        <v>980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"),0.75)</f>
        <v>0.75</v>
      </c>
      <c r="I286" s="175">
        <v>6.0</v>
      </c>
      <c r="J286" s="179" t="s">
        <v>255</v>
      </c>
    </row>
    <row r="287" ht="18.0" customHeight="1">
      <c r="A287" s="169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"),0.8)</f>
        <v>0.8</v>
      </c>
      <c r="D287" s="172">
        <f t="array" ref="D287">SUM(MAP(E25:E29, F25:F29, LAMBDA(e, f, MAX(0, e - f)))) / SUM(E25:E29)</f>
        <v>0.7521367521</v>
      </c>
      <c r="E287" s="173">
        <f t="array" ref="E287">SUM(MAP(E$25:E$29, F$25:F$29, LAMBDA(e,f, MIN(e, f))))
</f>
        <v>725</v>
      </c>
      <c r="F287" s="174">
        <f>F30</f>
        <v>1160</v>
      </c>
      <c r="G287" s="175">
        <f>IFERROR(__xludf.DUMMYFUNCTION("SUMPRODUCT(--(C25:C29&lt;&gt;""Vacant-Unrented""),--(C25:C29&lt;&gt;""Vacant-Rented""),--((N(W25:W29)&gt;N(X25:X29))+N(REGEXMATCH(LOWER(C25:C29),""evict""))&gt;0))"),0.0)</f>
        <v>0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"),1.0)</f>
        <v>1</v>
      </c>
      <c r="I287" s="175">
        <v>5.0</v>
      </c>
      <c r="J287" s="179" t="s">
        <v>257</v>
      </c>
    </row>
    <row r="288" ht="18.0" customHeight="1">
      <c r="A288" s="169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0.9342857143</v>
      </c>
      <c r="E288" s="173">
        <f t="array" ref="E288">SUM(MAP(E$32:E$33, F$32:F$33, LAMBDA(e,f, MIN(e, f))))
</f>
        <v>92</v>
      </c>
      <c r="F288" s="174">
        <f>F34</f>
        <v>92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  <c r="J288" s="179" t="s">
        <v>259</v>
      </c>
    </row>
    <row r="289" ht="18.0" customHeight="1">
      <c r="A289" s="169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1</v>
      </c>
      <c r="E289" s="173">
        <f t="array" ref="E289">SUM(MAP(E$36:E$37, F$36:F$37, LAMBDA(e,f, MIN(e, f))))
</f>
        <v>0</v>
      </c>
      <c r="F289" s="174">
        <f>F38</f>
        <v>0</v>
      </c>
      <c r="G289" s="175">
        <f>IFERROR(__xludf.DUMMYFUNCTION("SUMPRODUCT(--(C40:C75&lt;&gt;""Vacant-Unrented""),--(C40:C75&lt;&gt;""Vacant-Rented""),--((N(W40:W75)&gt;N(X40:X75))+N(REGEXMATCH(LOWER(C40:C75),""evict""))&gt;0))"),0.0)</f>
        <v>0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  <c r="J289" s="179" t="s">
        <v>261</v>
      </c>
    </row>
    <row r="290" ht="18.0" customHeight="1">
      <c r="A290" s="180" t="s">
        <v>250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0.801867059</v>
      </c>
      <c r="E290" s="173">
        <f t="array" ref="E290">SUM(MAP(E$40:E$75, F$40:F$75, LAMBDA(e,f, MIN(e, f))))
</f>
        <v>5723.07</v>
      </c>
      <c r="F290" s="174">
        <f>F76</f>
        <v>7866.14</v>
      </c>
      <c r="G290" s="175">
        <f>IFERROR(__xludf.DUMMYFUNCTION("SUMPRODUCT(--(C40:C75&lt;&gt;""Vacant-Unrented""),--(C40:C75&lt;&gt;""Vacant-Rented""),--((N(W40:W75)&gt;N(X40:X75))+N(REGEXMATCH(LOWER(C40:C75),""evict""))&gt;0))"),0.0)</f>
        <v>0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"),0.6875)</f>
        <v>0.6875</v>
      </c>
      <c r="I290" s="175">
        <v>36.0</v>
      </c>
      <c r="J290" s="179" t="s">
        <v>263</v>
      </c>
    </row>
    <row r="291" ht="18.0" customHeight="1">
      <c r="A291" s="169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"),0.725)</f>
        <v>0.725</v>
      </c>
      <c r="D291" s="172">
        <f t="array" ref="D291">SUM(MAP(E79:E129, F79:F129, LAMBDA(e,f, MAX(0, e-f)))) / SUM(E79:E129)
</f>
        <v>0.5789632414</v>
      </c>
      <c r="E291" s="173">
        <f t="array" ref="E291">SUM(MAP(E$78:E$128, F$78:F$128, LAMBDA(e,f, MIN(e, f))))
</f>
        <v>14059.74</v>
      </c>
      <c r="F291" s="174">
        <f>F129</f>
        <v>20325.49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"),2.0)</f>
        <v>2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"),0.7837837837837838)</f>
        <v>0.7837837838</v>
      </c>
      <c r="I291" s="175">
        <v>51.0</v>
      </c>
      <c r="J291" s="179" t="s">
        <v>265</v>
      </c>
    </row>
    <row r="292" ht="18.0" customHeight="1">
      <c r="A292" s="169" t="s">
        <v>252</v>
      </c>
      <c r="B292" s="170" t="s">
        <v>266</v>
      </c>
      <c r="C292" s="171">
        <f>IFERROR(__xludf.DUMMYFUNCTION("IF(ISNUMBER(SEARCH(""%"",C171)), VALUE(REGEXREPLACE(C171,""[^0-9.]"",""""))/100, VALUE(REGEXREPLACE(C171,""[^0-9.]"","""")))
"),0.9)</f>
        <v>0.9</v>
      </c>
      <c r="D292" s="172">
        <f t="array" ref="D292">SUM(MAP(E131:E170, F131:F170, LAMBDA(e,f, MAX(0, e-f)))) / SUM(E131:E170)
</f>
        <v>0.8010259286</v>
      </c>
      <c r="E292" s="173">
        <f t="array" ref="E292">SUM(MAP(E$131:E$170, F$131:F$170, LAMBDA(e,f, MIN(e, f))))
</f>
        <v>6565.05</v>
      </c>
      <c r="F292" s="174">
        <f>F171</f>
        <v>7547.48</v>
      </c>
      <c r="G292" s="175">
        <f>IFERROR(__xludf.DUMMYFUNCTION("SUMPRODUCT(--(C131:C170&lt;&gt;""Vacant-Unrented""),--(C131:C170&lt;&gt;""Vacant-Rented""),--((N(W131:W170)&gt;N(X131:X170))+N(REGEXMATCH(LOWER(C131:C170),""evict""))&gt;0))"),0.0)</f>
        <v>0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"),0.5555555555555556)</f>
        <v>0.5555555556</v>
      </c>
      <c r="I292" s="175">
        <v>40.0</v>
      </c>
      <c r="J292" s="179" t="s">
        <v>267</v>
      </c>
    </row>
    <row r="293" ht="18.0" customHeight="1">
      <c r="A293" s="180" t="s">
        <v>251</v>
      </c>
      <c r="B293" s="170" t="s">
        <v>268</v>
      </c>
      <c r="C293" s="171">
        <f>IFERROR(__xludf.DUMMYFUNCTION("IF(ISNUMBER(SEARCH(""%"",C195)), VALUE(REGEXREPLACE(C195,""[^0-9.]"",""""))/100, VALUE(REGEXREPLACE(C195,""[^0-9.]"","""")))
"),0.955)</f>
        <v>0.955</v>
      </c>
      <c r="D293" s="172">
        <f t="array" ref="D293">SUM(MAP(E174:E195, F174:F195, LAMBDA(e,f, MAX(0, e-f)))) / SUM(E174:E195)
</f>
        <v>0.888703363</v>
      </c>
      <c r="E293" s="173">
        <f t="array" ref="E293">SUM(MAP(E$173:E$194, F$173:F$194, LAMBDA(e,f, MIN(e, f))))
</f>
        <v>1499.52</v>
      </c>
      <c r="F293" s="174">
        <f>F195</f>
        <v>2190.52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"),0.6190476190476191)</f>
        <v>0.619047619</v>
      </c>
      <c r="I293" s="175">
        <v>22.0</v>
      </c>
      <c r="J293" s="179" t="s">
        <v>269</v>
      </c>
    </row>
    <row r="294" ht="18.0" customHeight="1">
      <c r="A294" s="169" t="s">
        <v>252</v>
      </c>
      <c r="B294" s="170" t="s">
        <v>270</v>
      </c>
      <c r="C294" s="171">
        <f>IFERROR(__xludf.DUMMYFUNCTION("IF(ISNUMBER(SEARCH(""%"",C247)), VALUE(REGEXREPLACE(C247,""[^0-9.]"",""""))/100, VALUE(REGEXREPLACE(C247,""[^0-9.]"","""")))
"),0.88)</f>
        <v>0.88</v>
      </c>
      <c r="D294" s="172">
        <f t="array" ref="D294">SUM(MAP(E197:E246, F197:F246, LAMBDA(e,f, MAX(0, e-f)))) / SUM(E197:E246)
</f>
        <v>0.8441931834</v>
      </c>
      <c r="E294" s="173">
        <f t="array" ref="E294">SUM(MAP(E$197:E$246, F$197:F$246, LAMBDA(e,f, MIN(e, f))))
</f>
        <v>8138.46</v>
      </c>
      <c r="F294" s="174">
        <f>F247</f>
        <v>14440.16</v>
      </c>
      <c r="G294" s="175">
        <f>IFERROR(__xludf.DUMMYFUNCTION("SUMPRODUCT(--(C197:C246&lt;&gt;""Vacant-Unrented""),--(C197:C246&lt;&gt;""Vacant-Rented""),--((N(W197:W246)&gt;N(X197:X246))+N(REGEXMATCH(LOWER(C197:C246),""evict""))&gt;0))"),1.0)</f>
        <v>1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"),0.5454545454545454)</f>
        <v>0.5454545455</v>
      </c>
      <c r="I294" s="175">
        <v>50.0</v>
      </c>
      <c r="J294" s="179" t="s">
        <v>271</v>
      </c>
    </row>
    <row r="295" ht="18.0" customHeight="1">
      <c r="A295" s="180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0.9209406897</v>
      </c>
      <c r="E295" s="183">
        <f t="array" ref="E295">SUM(MAP(E$249:E$278, F$249:F$278, LAMBDA(e,f, MIN(e, f))))
</f>
        <v>1827.85</v>
      </c>
      <c r="F295" s="184">
        <f>F279</f>
        <v>1948.65</v>
      </c>
      <c r="G295" s="185">
        <f>IFERROR(__xludf.DUMMYFUNCTION("SUMPRODUCT(--(C249:C278&lt;&gt;""Vacant-Unrented""),--(C249:C278&lt;&gt;""Vacant-Rented""),--((N(W249:W278)&gt;N(X249:X278))+N(REGEXMATCH(LOWER(C249:C278),""evict""))&gt;0))"),0.0)</f>
        <v>0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"),0.8333333333333334)</f>
        <v>0.8333333333</v>
      </c>
      <c r="I295" s="175">
        <v>30.0</v>
      </c>
      <c r="J295" s="179" t="s">
        <v>273</v>
      </c>
    </row>
    <row r="296" ht="18.0" customHeight="1">
      <c r="A296" s="186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0)"),0.8681596958174904)</f>
        <v>0.8681596958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"),0.8055261287036226)</f>
        <v>0.8055261287</v>
      </c>
      <c r="E296" s="190">
        <f t="shared" ref="E296:G296" si="7">sum(E285:E295)</f>
        <v>40430.69</v>
      </c>
      <c r="F296" s="190">
        <f t="shared" si="7"/>
        <v>57479.19</v>
      </c>
      <c r="G296" s="191">
        <f t="shared" si="7"/>
        <v>3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"),0.6837209302325581)</f>
        <v>0.6837209302</v>
      </c>
      <c r="I296" s="193"/>
      <c r="J296" s="194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5"/>
    <col customWidth="1" min="7" max="7" width="31.25"/>
    <col customWidth="1" min="8" max="8" width="111.13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28" t="s">
        <v>10</v>
      </c>
    </row>
    <row r="2" ht="18.0" customHeight="1">
      <c r="A2" s="130" t="s">
        <v>315</v>
      </c>
    </row>
    <row r="3" ht="18.0" customHeight="1">
      <c r="A3" s="130"/>
    </row>
    <row r="4" ht="18.0" customHeight="1">
      <c r="A4" s="131" t="s">
        <v>316</v>
      </c>
    </row>
    <row r="5" ht="18.0" customHeight="1">
      <c r="A5" s="131" t="s">
        <v>317</v>
      </c>
    </row>
    <row r="6" ht="18.0" customHeight="1">
      <c r="A6" s="131" t="s">
        <v>318</v>
      </c>
    </row>
    <row r="7" ht="18.0" customHeight="1">
      <c r="A7" s="131" t="s">
        <v>319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908.75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0.0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47</v>
      </c>
      <c r="D14" s="135">
        <v>950.0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7"/>
      <c r="T14" s="137"/>
    </row>
    <row r="15" ht="18.0" customHeight="1">
      <c r="A15" s="138" t="s">
        <v>43</v>
      </c>
      <c r="B15" s="138"/>
      <c r="C15" s="138" t="s">
        <v>313</v>
      </c>
      <c r="D15" s="139">
        <v>3800.0</v>
      </c>
      <c r="E15" s="140">
        <v>2925.0</v>
      </c>
      <c r="F15" s="140">
        <v>908.75</v>
      </c>
      <c r="G15" s="140">
        <v>0.0</v>
      </c>
      <c r="H15" s="140">
        <v>0.0</v>
      </c>
      <c r="I15" s="140">
        <v>2532.0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46443.0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950.0</v>
      </c>
      <c r="F22" s="136">
        <v>0.0</v>
      </c>
      <c r="G22" s="136">
        <v>0.0</v>
      </c>
      <c r="H22" s="136">
        <v>0.0</v>
      </c>
      <c r="I22" s="136">
        <v>925.0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25.0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3675.0</v>
      </c>
      <c r="F23" s="140">
        <v>0.0</v>
      </c>
      <c r="G23" s="140">
        <v>0.0</v>
      </c>
      <c r="H23" s="140">
        <v>0.0</v>
      </c>
      <c r="I23" s="140">
        <v>3065.0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50.0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47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39</v>
      </c>
      <c r="D28" s="135">
        <v>621.0</v>
      </c>
      <c r="E28" s="136">
        <v>725.0</v>
      </c>
      <c r="F28" s="136">
        <v>1230.0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46431.0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1230.0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750.0</v>
      </c>
      <c r="F32" s="136">
        <v>-90.4</v>
      </c>
      <c r="G32" s="136">
        <v>0.0</v>
      </c>
      <c r="H32" s="136">
        <v>0.0</v>
      </c>
      <c r="I32" s="136">
        <v>750.0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0.0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1400.0</v>
      </c>
      <c r="F34" s="140">
        <v>-90.4</v>
      </c>
      <c r="G34" s="140">
        <v>0.0</v>
      </c>
      <c r="H34" s="140">
        <v>0.0</v>
      </c>
      <c r="I34" s="140">
        <v>1400.0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0.0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46356.0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46035.0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46023.0</v>
      </c>
      <c r="T44" s="137">
        <v>46568.0</v>
      </c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1156.25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46568.0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45954.0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0.0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46355.0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0.0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800.0</v>
      </c>
      <c r="F54" s="136">
        <v>0.0</v>
      </c>
      <c r="G54" s="136">
        <v>0.0</v>
      </c>
      <c r="H54" s="136">
        <v>0.0</v>
      </c>
      <c r="I54" s="136">
        <v>800.0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46387.0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0.0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46081.0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750.0</v>
      </c>
      <c r="F58" s="136">
        <v>0.0</v>
      </c>
      <c r="G58" s="136">
        <v>0.0</v>
      </c>
      <c r="H58" s="136">
        <v>0.0</v>
      </c>
      <c r="I58" s="136">
        <v>750.0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46022.0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0.0</v>
      </c>
      <c r="F60" s="136">
        <v>332.88</v>
      </c>
      <c r="G60" s="136">
        <v>0.0</v>
      </c>
      <c r="H60" s="136">
        <v>0.0</v>
      </c>
      <c r="I60" s="136">
        <v>0.0</v>
      </c>
      <c r="J60" s="136">
        <v>0.0</v>
      </c>
      <c r="K60" s="136">
        <v>0.0</v>
      </c>
      <c r="L60" s="136">
        <v>0.0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99.5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178</v>
      </c>
      <c r="D65" s="135">
        <v>700.0</v>
      </c>
      <c r="E65" s="136">
        <v>825.0</v>
      </c>
      <c r="F65" s="136">
        <v>2207.5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46077.0</v>
      </c>
    </row>
    <row r="68" ht="18.0" customHeight="1">
      <c r="A68" s="134" t="s">
        <v>91</v>
      </c>
      <c r="B68" s="134" t="s">
        <v>38</v>
      </c>
      <c r="C68" s="134" t="s">
        <v>39</v>
      </c>
      <c r="D68" s="135">
        <v>950.0</v>
      </c>
      <c r="E68" s="136">
        <v>800.0</v>
      </c>
      <c r="F68" s="136">
        <v>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1047.32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750.0</v>
      </c>
      <c r="F70" s="136">
        <v>0.0</v>
      </c>
      <c r="G70" s="136">
        <v>0.0</v>
      </c>
      <c r="H70" s="136">
        <v>0.0</v>
      </c>
      <c r="I70" s="136">
        <v>750.0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83.0</v>
      </c>
      <c r="F72" s="136">
        <v>-59.81</v>
      </c>
      <c r="G72" s="136">
        <v>0.0</v>
      </c>
      <c r="H72" s="136">
        <v>0.0</v>
      </c>
      <c r="I72" s="136">
        <v>83.0</v>
      </c>
      <c r="J72" s="136">
        <v>0.0</v>
      </c>
      <c r="K72" s="136">
        <v>0.0</v>
      </c>
      <c r="L72" s="136">
        <v>0.0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0.0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46094.0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26918.0</v>
      </c>
      <c r="F76" s="140">
        <v>4783.64</v>
      </c>
      <c r="G76" s="140">
        <v>0.0</v>
      </c>
      <c r="H76" s="140">
        <v>0.0</v>
      </c>
      <c r="I76" s="140">
        <v>26853.0</v>
      </c>
      <c r="J76" s="140">
        <v>0.0</v>
      </c>
      <c r="K76" s="140">
        <v>0.0</v>
      </c>
      <c r="L76" s="140">
        <v>0.0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0.0</v>
      </c>
      <c r="F78" s="136">
        <v>0.0</v>
      </c>
      <c r="G78" s="136">
        <v>0.0</v>
      </c>
      <c r="H78" s="136">
        <v>0.0</v>
      </c>
      <c r="I78" s="136">
        <v>0.0</v>
      </c>
      <c r="J78" s="136">
        <v>0.0</v>
      </c>
      <c r="K78" s="136">
        <v>0.0</v>
      </c>
      <c r="L78" s="136">
        <v>0.0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39</v>
      </c>
      <c r="D79" s="135">
        <v>1400.0</v>
      </c>
      <c r="E79" s="136">
        <v>0.0</v>
      </c>
      <c r="F79" s="136">
        <v>1350.0</v>
      </c>
      <c r="G79" s="136">
        <v>0.0</v>
      </c>
      <c r="H79" s="136">
        <v>0.0</v>
      </c>
      <c r="I79" s="136">
        <v>0.0</v>
      </c>
      <c r="J79" s="136">
        <v>0.0</v>
      </c>
      <c r="K79" s="136">
        <v>0.0</v>
      </c>
      <c r="L79" s="136">
        <v>0.0</v>
      </c>
      <c r="M79" s="136">
        <v>0.0</v>
      </c>
      <c r="N79" s="136">
        <v>0.0</v>
      </c>
      <c r="O79" s="136">
        <v>0.0</v>
      </c>
      <c r="P79" s="136">
        <v>0.0</v>
      </c>
      <c r="Q79" s="136">
        <v>0.0</v>
      </c>
      <c r="R79" s="136">
        <v>0.0</v>
      </c>
      <c r="S79" s="137">
        <v>46004.0</v>
      </c>
      <c r="T79" s="137">
        <v>46356.0</v>
      </c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107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46073.0</v>
      </c>
    </row>
    <row r="82" ht="18.0" customHeight="1">
      <c r="A82" s="134" t="s">
        <v>108</v>
      </c>
      <c r="B82" s="134" t="s">
        <v>104</v>
      </c>
      <c r="C82" s="134" t="s">
        <v>47</v>
      </c>
      <c r="D82" s="135">
        <v>1400.0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7"/>
      <c r="T82" s="137"/>
    </row>
    <row r="83" ht="18.0" customHeight="1">
      <c r="A83" s="134" t="s">
        <v>109</v>
      </c>
      <c r="B83" s="134" t="s">
        <v>38</v>
      </c>
      <c r="C83" s="134" t="s">
        <v>39</v>
      </c>
      <c r="D83" s="135">
        <v>1400.0</v>
      </c>
      <c r="E83" s="136">
        <v>1099.0</v>
      </c>
      <c r="F83" s="136">
        <v>0.0</v>
      </c>
      <c r="G83" s="136">
        <v>0.0</v>
      </c>
      <c r="H83" s="136">
        <v>0.0</v>
      </c>
      <c r="I83" s="136">
        <v>1099.0</v>
      </c>
      <c r="J83" s="136">
        <v>0.0</v>
      </c>
      <c r="K83" s="136">
        <v>0.0</v>
      </c>
      <c r="L83" s="136">
        <v>0.0</v>
      </c>
      <c r="M83" s="136">
        <v>0.0</v>
      </c>
      <c r="N83" s="136">
        <v>0.0</v>
      </c>
      <c r="O83" s="136">
        <v>0.0</v>
      </c>
      <c r="P83" s="136">
        <v>0.0</v>
      </c>
      <c r="Q83" s="136">
        <v>0.0</v>
      </c>
      <c r="R83" s="136">
        <v>0.0</v>
      </c>
      <c r="S83" s="137">
        <v>45992.0</v>
      </c>
      <c r="T83" s="137">
        <v>46356.0</v>
      </c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-10.01</v>
      </c>
      <c r="G84" s="136">
        <v>0.0</v>
      </c>
      <c r="H84" s="136">
        <v>0.0</v>
      </c>
      <c r="I84" s="136">
        <v>65.0</v>
      </c>
      <c r="J84" s="136">
        <v>0.0</v>
      </c>
      <c r="K84" s="136">
        <v>0.0</v>
      </c>
      <c r="L84" s="136">
        <v>835.0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297</v>
      </c>
      <c r="D86" s="135">
        <v>1400.0</v>
      </c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7"/>
      <c r="T86" s="137"/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1125.0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1221.2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1100.0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47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39</v>
      </c>
      <c r="D93" s="135">
        <v>1400.0</v>
      </c>
      <c r="E93" s="136">
        <v>1150.0</v>
      </c>
      <c r="F93" s="136">
        <v>35.0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41.0</v>
      </c>
      <c r="G95" s="136">
        <v>0.0</v>
      </c>
      <c r="H95" s="136">
        <v>0.0</v>
      </c>
      <c r="I95" s="136">
        <v>371.0</v>
      </c>
      <c r="J95" s="136">
        <v>0.0</v>
      </c>
      <c r="K95" s="136">
        <v>0.0</v>
      </c>
      <c r="L95" s="136">
        <v>529.0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104</v>
      </c>
      <c r="C96" s="134" t="s">
        <v>39</v>
      </c>
      <c r="D96" s="135">
        <v>1400.0</v>
      </c>
      <c r="E96" s="136">
        <v>0.0</v>
      </c>
      <c r="F96" s="136">
        <v>-1.0</v>
      </c>
      <c r="G96" s="136">
        <v>0.0</v>
      </c>
      <c r="H96" s="136">
        <v>0.0</v>
      </c>
      <c r="I96" s="136">
        <v>0.0</v>
      </c>
      <c r="J96" s="136">
        <v>0.0</v>
      </c>
      <c r="K96" s="136">
        <v>0.0</v>
      </c>
      <c r="L96" s="136">
        <v>0.0</v>
      </c>
      <c r="M96" s="136">
        <v>0.0</v>
      </c>
      <c r="N96" s="136">
        <v>0.0</v>
      </c>
      <c r="O96" s="136">
        <v>0.0</v>
      </c>
      <c r="P96" s="136">
        <v>0.0</v>
      </c>
      <c r="Q96" s="136">
        <v>0.0</v>
      </c>
      <c r="R96" s="136">
        <v>0.0</v>
      </c>
      <c r="S96" s="137">
        <v>46006.0</v>
      </c>
      <c r="T96" s="137">
        <v>46356.0</v>
      </c>
    </row>
    <row r="97" ht="18.0" customHeight="1">
      <c r="A97" s="134" t="s">
        <v>124</v>
      </c>
      <c r="B97" s="134" t="s">
        <v>115</v>
      </c>
      <c r="C97" s="134" t="s">
        <v>178</v>
      </c>
      <c r="D97" s="135">
        <v>1400.0</v>
      </c>
      <c r="E97" s="136">
        <v>1300.0</v>
      </c>
      <c r="F97" s="136">
        <v>4080.0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-50.0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67.5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>
        <v>46356.0</v>
      </c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1051.25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47</v>
      </c>
      <c r="D108" s="135">
        <v>1400.0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7"/>
      <c r="T108" s="137"/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47</v>
      </c>
      <c r="D113" s="135">
        <v>1400.0</v>
      </c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7"/>
      <c r="T113" s="137"/>
    </row>
    <row r="114" ht="18.0" customHeight="1">
      <c r="A114" s="134" t="s">
        <v>141</v>
      </c>
      <c r="B114" s="134" t="s">
        <v>38</v>
      </c>
      <c r="C114" s="134" t="s">
        <v>178</v>
      </c>
      <c r="D114" s="135">
        <v>1400.0</v>
      </c>
      <c r="E114" s="136">
        <v>900.0</v>
      </c>
      <c r="F114" s="136">
        <v>3600.0</v>
      </c>
      <c r="G114" s="136">
        <v>0.0</v>
      </c>
      <c r="H114" s="136">
        <v>0.0</v>
      </c>
      <c r="I114" s="136">
        <v>0.0</v>
      </c>
      <c r="J114" s="136">
        <v>0.0</v>
      </c>
      <c r="K114" s="136">
        <v>0.0</v>
      </c>
      <c r="L114" s="136">
        <v>900.0</v>
      </c>
      <c r="M114" s="136">
        <v>0.0</v>
      </c>
      <c r="N114" s="136">
        <v>0.0</v>
      </c>
      <c r="O114" s="136">
        <v>0.0</v>
      </c>
      <c r="P114" s="136">
        <v>0.0</v>
      </c>
      <c r="Q114" s="136">
        <v>0.0</v>
      </c>
      <c r="R114" s="136">
        <v>0.0</v>
      </c>
      <c r="S114" s="137">
        <v>45231.0</v>
      </c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0.0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45992.0</v>
      </c>
      <c r="T115" s="137">
        <v>46356.0</v>
      </c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-83.0</v>
      </c>
      <c r="G116" s="136">
        <v>0.0</v>
      </c>
      <c r="H116" s="136">
        <v>0.0</v>
      </c>
      <c r="I116" s="136">
        <v>125.0</v>
      </c>
      <c r="J116" s="136">
        <v>0.0</v>
      </c>
      <c r="K116" s="136">
        <v>0.0</v>
      </c>
      <c r="L116" s="136">
        <v>850.0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45992.0</v>
      </c>
      <c r="T116" s="137">
        <v>46356.0</v>
      </c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0.0</v>
      </c>
      <c r="G118" s="136">
        <v>0.0</v>
      </c>
      <c r="H118" s="136">
        <v>0.0</v>
      </c>
      <c r="I118" s="136">
        <v>334.0</v>
      </c>
      <c r="J118" s="136">
        <v>0.0</v>
      </c>
      <c r="K118" s="136">
        <v>0.0</v>
      </c>
      <c r="L118" s="136">
        <v>1016.0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-5.0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1124.75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1400.0</v>
      </c>
      <c r="F125" s="136">
        <v>-148.0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50.0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67.5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107</v>
      </c>
      <c r="D128" s="135">
        <v>1400.0</v>
      </c>
      <c r="E128" s="136">
        <v>1000.0</v>
      </c>
      <c r="F128" s="136">
        <v>880.0</v>
      </c>
      <c r="G128" s="136">
        <v>0.0</v>
      </c>
      <c r="H128" s="136">
        <v>0.0</v>
      </c>
      <c r="I128" s="136">
        <v>1000.0</v>
      </c>
      <c r="J128" s="136">
        <v>0.0</v>
      </c>
      <c r="K128" s="136">
        <v>0.0</v>
      </c>
      <c r="L128" s="136">
        <v>0.0</v>
      </c>
      <c r="M128" s="136">
        <v>0.0</v>
      </c>
      <c r="N128" s="136">
        <v>0.0</v>
      </c>
      <c r="O128" s="136">
        <v>0.0</v>
      </c>
      <c r="P128" s="136">
        <v>0.0</v>
      </c>
      <c r="Q128" s="136">
        <v>0.0</v>
      </c>
      <c r="R128" s="136">
        <v>0.0</v>
      </c>
      <c r="S128" s="137">
        <v>44927.0</v>
      </c>
      <c r="T128" s="137"/>
    </row>
    <row r="129" ht="18.0" customHeight="1">
      <c r="A129" s="138" t="s">
        <v>156</v>
      </c>
      <c r="B129" s="138"/>
      <c r="C129" s="138" t="s">
        <v>279</v>
      </c>
      <c r="D129" s="139">
        <v>71400.0</v>
      </c>
      <c r="E129" s="140">
        <v>40384.0</v>
      </c>
      <c r="F129" s="140">
        <v>15446.19</v>
      </c>
      <c r="G129" s="140">
        <v>0.0</v>
      </c>
      <c r="H129" s="140">
        <v>0.0</v>
      </c>
      <c r="I129" s="140">
        <v>33464.0</v>
      </c>
      <c r="J129" s="140">
        <v>0.0</v>
      </c>
      <c r="K129" s="140">
        <v>0.0</v>
      </c>
      <c r="L129" s="140">
        <v>6870.0</v>
      </c>
      <c r="M129" s="140">
        <v>0.0</v>
      </c>
      <c r="N129" s="140">
        <v>0.0</v>
      </c>
      <c r="O129" s="140">
        <v>50.0</v>
      </c>
      <c r="P129" s="140">
        <v>0.0</v>
      </c>
      <c r="Q129" s="140">
        <v>0.0</v>
      </c>
      <c r="R129" s="140">
        <v>0.0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0.0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0.0</v>
      </c>
      <c r="G132" s="136">
        <v>900.0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0.0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-10.0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-100.0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0.0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47</v>
      </c>
      <c r="D138" s="135">
        <v>800.0</v>
      </c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7"/>
      <c r="T138" s="137"/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1050.0</v>
      </c>
      <c r="F139" s="136">
        <v>160.0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1000.0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/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172.0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1225.0</v>
      </c>
      <c r="F141" s="136">
        <v>0.0</v>
      </c>
      <c r="G141" s="136">
        <v>0.0</v>
      </c>
      <c r="H141" s="136">
        <v>50.0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1230.0</v>
      </c>
      <c r="F143" s="136">
        <v>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1150.0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>
        <v>46387.0</v>
      </c>
    </row>
    <row r="144" ht="18.0" customHeight="1">
      <c r="A144" s="134" t="s">
        <v>173</v>
      </c>
      <c r="B144" s="134" t="s">
        <v>168</v>
      </c>
      <c r="C144" s="134" t="s">
        <v>39</v>
      </c>
      <c r="D144" s="135">
        <v>1000.0</v>
      </c>
      <c r="E144" s="136">
        <v>1125.0</v>
      </c>
      <c r="F144" s="136">
        <v>0.0</v>
      </c>
      <c r="G144" s="136">
        <v>0.0</v>
      </c>
      <c r="H144" s="136">
        <v>0.0</v>
      </c>
      <c r="I144" s="136">
        <v>1125.0</v>
      </c>
      <c r="J144" s="136">
        <v>0.0</v>
      </c>
      <c r="K144" s="136">
        <v>0.0</v>
      </c>
      <c r="L144" s="136">
        <v>0.0</v>
      </c>
      <c r="M144" s="136">
        <v>0.0</v>
      </c>
      <c r="N144" s="136">
        <v>0.0</v>
      </c>
      <c r="O144" s="136">
        <v>0.0</v>
      </c>
      <c r="P144" s="136">
        <v>0.0</v>
      </c>
      <c r="Q144" s="136">
        <v>0.0</v>
      </c>
      <c r="R144" s="136">
        <v>0.0</v>
      </c>
      <c r="S144" s="137">
        <v>45996.0</v>
      </c>
      <c r="T144" s="137">
        <v>46356.0</v>
      </c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421.0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46568.0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0.0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0.0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0.0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1025.0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>
        <v>46356.0</v>
      </c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1000.0</v>
      </c>
      <c r="F153" s="136">
        <v>-466.0</v>
      </c>
      <c r="G153" s="136">
        <v>0.0</v>
      </c>
      <c r="H153" s="136">
        <v>0.0</v>
      </c>
      <c r="I153" s="136">
        <v>255.0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/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1723.43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0.0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>
        <v>46418.0</v>
      </c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0.0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>
        <v>46326.0</v>
      </c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0.0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47</v>
      </c>
      <c r="D159" s="135">
        <v>850.0</v>
      </c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7"/>
      <c r="T159" s="137"/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0.0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/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-15.0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/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357.0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5.0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0.0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0.0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39</v>
      </c>
      <c r="D166" s="135">
        <v>850.0</v>
      </c>
      <c r="E166" s="136">
        <v>1000.0</v>
      </c>
      <c r="F166" s="136">
        <v>1130.0</v>
      </c>
      <c r="G166" s="136">
        <v>0.0</v>
      </c>
      <c r="H166" s="136">
        <v>0.0</v>
      </c>
      <c r="I166" s="136">
        <v>1000.0</v>
      </c>
      <c r="J166" s="136">
        <v>0.0</v>
      </c>
      <c r="K166" s="136">
        <v>0.0</v>
      </c>
      <c r="L166" s="136">
        <v>0.0</v>
      </c>
      <c r="M166" s="136">
        <v>0.0</v>
      </c>
      <c r="N166" s="136">
        <v>0.0</v>
      </c>
      <c r="O166" s="136">
        <v>0.0</v>
      </c>
      <c r="P166" s="136">
        <v>0.0</v>
      </c>
      <c r="Q166" s="136">
        <v>0.0</v>
      </c>
      <c r="R166" s="136">
        <v>0.0</v>
      </c>
      <c r="S166" s="137">
        <v>45786.0</v>
      </c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46387.0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843.0</v>
      </c>
      <c r="F168" s="136">
        <v>406.0</v>
      </c>
      <c r="G168" s="136">
        <v>0.0</v>
      </c>
      <c r="H168" s="136">
        <v>0.0</v>
      </c>
      <c r="I168" s="136">
        <v>406.0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437.0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46387.0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900.0</v>
      </c>
      <c r="F169" s="136">
        <v>0.0</v>
      </c>
      <c r="G169" s="136">
        <v>0.0</v>
      </c>
      <c r="H169" s="136">
        <v>0.0</v>
      </c>
      <c r="I169" s="136">
        <v>900.0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>
        <v>46387.0</v>
      </c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280</v>
      </c>
      <c r="D171" s="139">
        <v>34800.0</v>
      </c>
      <c r="E171" s="140">
        <v>33194.5</v>
      </c>
      <c r="F171" s="140">
        <v>4808.43</v>
      </c>
      <c r="G171" s="140">
        <v>900.0</v>
      </c>
      <c r="H171" s="140">
        <v>180.0</v>
      </c>
      <c r="I171" s="140">
        <v>16410.0</v>
      </c>
      <c r="J171" s="140">
        <v>0.0</v>
      </c>
      <c r="K171" s="140">
        <v>4491.0</v>
      </c>
      <c r="L171" s="140">
        <v>0.0</v>
      </c>
      <c r="M171" s="140">
        <v>1958.0</v>
      </c>
      <c r="N171" s="140">
        <v>9120.0</v>
      </c>
      <c r="O171" s="140">
        <v>125.0</v>
      </c>
      <c r="P171" s="140">
        <v>0.0</v>
      </c>
      <c r="Q171" s="140">
        <v>0.0</v>
      </c>
      <c r="R171" s="140">
        <v>10.5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587.5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900.0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0.0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715.0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532.0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238.0</v>
      </c>
      <c r="F190" s="136">
        <v>-203.48</v>
      </c>
      <c r="G190" s="136">
        <v>0.0</v>
      </c>
      <c r="H190" s="136">
        <v>0.0</v>
      </c>
      <c r="I190" s="136">
        <v>238.0</v>
      </c>
      <c r="J190" s="136">
        <v>0.0</v>
      </c>
      <c r="K190" s="136">
        <v>0.0</v>
      </c>
      <c r="L190" s="136">
        <v>0.0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47</v>
      </c>
      <c r="D192" s="135">
        <v>825.0</v>
      </c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7"/>
      <c r="T192" s="137"/>
    </row>
    <row r="193" ht="18.0" customHeight="1">
      <c r="A193" s="134" t="s">
        <v>224</v>
      </c>
      <c r="B193" s="134" t="s">
        <v>56</v>
      </c>
      <c r="C193" s="134" t="s">
        <v>39</v>
      </c>
      <c r="D193" s="135">
        <v>750.0</v>
      </c>
      <c r="E193" s="136">
        <v>840.0</v>
      </c>
      <c r="F193" s="136">
        <v>0.0</v>
      </c>
      <c r="G193" s="136">
        <v>0.0</v>
      </c>
      <c r="H193" s="136">
        <v>0.0</v>
      </c>
      <c r="I193" s="136">
        <v>800.0</v>
      </c>
      <c r="J193" s="136">
        <v>0.0</v>
      </c>
      <c r="K193" s="136">
        <v>0.0</v>
      </c>
      <c r="L193" s="136">
        <v>0.0</v>
      </c>
      <c r="M193" s="136">
        <v>0.0</v>
      </c>
      <c r="N193" s="136">
        <v>0.0</v>
      </c>
      <c r="O193" s="136">
        <v>25.0</v>
      </c>
      <c r="P193" s="136">
        <v>0.0</v>
      </c>
      <c r="Q193" s="136">
        <v>0.0</v>
      </c>
      <c r="R193" s="136">
        <v>15.0</v>
      </c>
      <c r="S193" s="137">
        <v>45987.0</v>
      </c>
      <c r="T193" s="137">
        <v>46326.0</v>
      </c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750.0</v>
      </c>
      <c r="F194" s="136">
        <v>-775.0</v>
      </c>
      <c r="G194" s="136">
        <v>0.0</v>
      </c>
      <c r="H194" s="136">
        <v>0.0</v>
      </c>
      <c r="I194" s="136">
        <v>750.0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/>
    </row>
    <row r="195" ht="18.0" customHeight="1">
      <c r="A195" s="138" t="s">
        <v>226</v>
      </c>
      <c r="B195" s="138"/>
      <c r="C195" s="138" t="s">
        <v>306</v>
      </c>
      <c r="D195" s="139">
        <v>17550.0</v>
      </c>
      <c r="E195" s="140">
        <v>16463.0</v>
      </c>
      <c r="F195" s="140">
        <v>1756.02</v>
      </c>
      <c r="G195" s="140">
        <v>0.0</v>
      </c>
      <c r="H195" s="140">
        <v>0.0</v>
      </c>
      <c r="I195" s="140">
        <v>16423.0</v>
      </c>
      <c r="J195" s="140">
        <v>0.0</v>
      </c>
      <c r="K195" s="140">
        <v>0.0</v>
      </c>
      <c r="L195" s="140">
        <v>0.0</v>
      </c>
      <c r="M195" s="140">
        <v>0.0</v>
      </c>
      <c r="N195" s="140">
        <v>0.0</v>
      </c>
      <c r="O195" s="140">
        <v>25.0</v>
      </c>
      <c r="P195" s="140">
        <v>0.0</v>
      </c>
      <c r="Q195" s="140">
        <v>0.0</v>
      </c>
      <c r="R195" s="140">
        <v>15.0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0.0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13.0</v>
      </c>
      <c r="G199" s="136">
        <v>0.0</v>
      </c>
      <c r="H199" s="136">
        <v>225.0</v>
      </c>
      <c r="I199" s="136">
        <v>122.0</v>
      </c>
      <c r="J199" s="136">
        <v>0.0</v>
      </c>
      <c r="K199" s="136">
        <v>0.0</v>
      </c>
      <c r="L199" s="136">
        <v>903.0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1175.0</v>
      </c>
      <c r="F200" s="136">
        <v>268.75</v>
      </c>
      <c r="G200" s="136">
        <v>0.0</v>
      </c>
      <c r="H200" s="136">
        <v>225.0</v>
      </c>
      <c r="I200" s="136">
        <v>950.0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-924.0</v>
      </c>
      <c r="G202" s="136">
        <v>0.0</v>
      </c>
      <c r="H202" s="136">
        <v>225.0</v>
      </c>
      <c r="I202" s="136">
        <v>144.0</v>
      </c>
      <c r="J202" s="136">
        <v>0.0</v>
      </c>
      <c r="K202" s="136">
        <v>0.0</v>
      </c>
      <c r="L202" s="136">
        <v>881.0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957.51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424.0</v>
      </c>
      <c r="F207" s="136">
        <v>-19.26</v>
      </c>
      <c r="G207" s="136">
        <v>0.0</v>
      </c>
      <c r="H207" s="136">
        <v>225.0</v>
      </c>
      <c r="I207" s="136">
        <v>199.0</v>
      </c>
      <c r="J207" s="136">
        <v>0.0</v>
      </c>
      <c r="K207" s="136">
        <v>0.0</v>
      </c>
      <c r="L207" s="136">
        <v>0.0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-91.25</v>
      </c>
      <c r="G208" s="136">
        <v>0.0</v>
      </c>
      <c r="H208" s="136">
        <v>225.0</v>
      </c>
      <c r="I208" s="136">
        <v>222.0</v>
      </c>
      <c r="J208" s="136">
        <v>0.0</v>
      </c>
      <c r="K208" s="136">
        <v>0.0</v>
      </c>
      <c r="L208" s="136">
        <v>803.0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733.0</v>
      </c>
      <c r="F211" s="136">
        <v>-2.0</v>
      </c>
      <c r="G211" s="136">
        <v>0.0</v>
      </c>
      <c r="H211" s="136">
        <v>225.0</v>
      </c>
      <c r="I211" s="136">
        <v>508.0</v>
      </c>
      <c r="J211" s="136">
        <v>0.0</v>
      </c>
      <c r="K211" s="136">
        <v>0.0</v>
      </c>
      <c r="L211" s="136">
        <v>0.0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275.25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0.0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46006.0</v>
      </c>
    </row>
    <row r="217" ht="18.0" customHeight="1">
      <c r="A217" s="134" t="s">
        <v>84</v>
      </c>
      <c r="B217" s="134" t="s">
        <v>38</v>
      </c>
      <c r="C217" s="134" t="s">
        <v>178</v>
      </c>
      <c r="D217" s="135">
        <v>825.0</v>
      </c>
      <c r="E217" s="136">
        <v>1250.0</v>
      </c>
      <c r="F217" s="136">
        <v>5997.25</v>
      </c>
      <c r="G217" s="136">
        <v>0.0</v>
      </c>
      <c r="H217" s="136">
        <v>225.0</v>
      </c>
      <c r="I217" s="136">
        <v>1025.0</v>
      </c>
      <c r="J217" s="136">
        <v>0.0</v>
      </c>
      <c r="K217" s="136">
        <v>0.0</v>
      </c>
      <c r="L217" s="136">
        <v>0.0</v>
      </c>
      <c r="M217" s="136">
        <v>0.0</v>
      </c>
      <c r="N217" s="136">
        <v>0.0</v>
      </c>
      <c r="O217" s="136">
        <v>0.0</v>
      </c>
      <c r="P217" s="136">
        <v>0.0</v>
      </c>
      <c r="Q217" s="136">
        <v>0.0</v>
      </c>
      <c r="R217" s="136">
        <v>0.0</v>
      </c>
      <c r="S217" s="137">
        <v>45483.0</v>
      </c>
      <c r="T217" s="137">
        <v>46031.0</v>
      </c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0.0</v>
      </c>
      <c r="G222" s="136">
        <v>0.0</v>
      </c>
      <c r="H222" s="136">
        <v>225.0</v>
      </c>
      <c r="I222" s="136">
        <v>408.0</v>
      </c>
      <c r="J222" s="136">
        <v>0.0</v>
      </c>
      <c r="K222" s="136">
        <v>0.0</v>
      </c>
      <c r="L222" s="136">
        <v>667.0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46081.0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1250.0</v>
      </c>
      <c r="F225" s="136">
        <v>400.0</v>
      </c>
      <c r="G225" s="136">
        <v>0.0</v>
      </c>
      <c r="H225" s="136">
        <v>225.0</v>
      </c>
      <c r="I225" s="136">
        <v>1025.0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>
        <v>46387.0</v>
      </c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1125.0</v>
      </c>
      <c r="F226" s="136">
        <v>0.0</v>
      </c>
      <c r="G226" s="136">
        <v>0.0</v>
      </c>
      <c r="H226" s="136">
        <v>225.0</v>
      </c>
      <c r="I226" s="136">
        <v>900.0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46022.0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0.0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-20.0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46091.0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969.5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472.0</v>
      </c>
      <c r="G233" s="136">
        <v>0.0</v>
      </c>
      <c r="H233" s="136">
        <v>225.0</v>
      </c>
      <c r="I233" s="136">
        <v>448.0</v>
      </c>
      <c r="J233" s="136">
        <v>0.0</v>
      </c>
      <c r="K233" s="136">
        <v>0.0</v>
      </c>
      <c r="L233" s="136">
        <v>577.0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343.7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47</v>
      </c>
      <c r="D236" s="135">
        <v>825.0</v>
      </c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7"/>
      <c r="T236" s="137"/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-170.0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39</v>
      </c>
      <c r="D238" s="135">
        <v>825.0</v>
      </c>
      <c r="E238" s="136">
        <v>1250.0</v>
      </c>
      <c r="F238" s="136">
        <v>865.65</v>
      </c>
      <c r="G238" s="136">
        <v>0.0</v>
      </c>
      <c r="H238" s="136">
        <v>225.0</v>
      </c>
      <c r="I238" s="136">
        <v>1025.0</v>
      </c>
      <c r="J238" s="136">
        <v>0.0</v>
      </c>
      <c r="K238" s="136">
        <v>0.0</v>
      </c>
      <c r="L238" s="136">
        <v>0.0</v>
      </c>
      <c r="M238" s="136">
        <v>0.0</v>
      </c>
      <c r="N238" s="136">
        <v>0.0</v>
      </c>
      <c r="O238" s="136">
        <v>0.0</v>
      </c>
      <c r="P238" s="136">
        <v>0.0</v>
      </c>
      <c r="Q238" s="136">
        <v>0.0</v>
      </c>
      <c r="R238" s="136">
        <v>0.0</v>
      </c>
      <c r="S238" s="137">
        <v>45139.0</v>
      </c>
      <c r="T238" s="137">
        <v>45987.0</v>
      </c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-2675.0</v>
      </c>
      <c r="G239" s="136">
        <v>0.0</v>
      </c>
      <c r="H239" s="136">
        <v>125.0</v>
      </c>
      <c r="I239" s="136">
        <v>186.0</v>
      </c>
      <c r="J239" s="136">
        <v>0.0</v>
      </c>
      <c r="K239" s="136">
        <v>0.0</v>
      </c>
      <c r="L239" s="136">
        <v>687.0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1250.0</v>
      </c>
      <c r="F240" s="136">
        <v>1889.2</v>
      </c>
      <c r="G240" s="136">
        <v>0.0</v>
      </c>
      <c r="H240" s="136">
        <v>225.0</v>
      </c>
      <c r="I240" s="136">
        <v>99.0</v>
      </c>
      <c r="J240" s="136">
        <v>0.0</v>
      </c>
      <c r="K240" s="136">
        <v>0.0</v>
      </c>
      <c r="L240" s="136">
        <v>926.0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>
        <v>46302.0</v>
      </c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0.0</v>
      </c>
      <c r="G241" s="136">
        <v>0.0</v>
      </c>
      <c r="H241" s="136">
        <v>225.0</v>
      </c>
      <c r="I241" s="136">
        <v>275.0</v>
      </c>
      <c r="J241" s="136">
        <v>0.0</v>
      </c>
      <c r="K241" s="136">
        <v>0.0</v>
      </c>
      <c r="L241" s="136">
        <v>750.0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-1.4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-800.0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>
        <v>46387.0</v>
      </c>
    </row>
    <row r="247" ht="18.0" customHeight="1">
      <c r="A247" s="138" t="s">
        <v>244</v>
      </c>
      <c r="B247" s="138"/>
      <c r="C247" s="138" t="s">
        <v>314</v>
      </c>
      <c r="D247" s="139">
        <v>40350.0</v>
      </c>
      <c r="E247" s="140">
        <v>50921.3</v>
      </c>
      <c r="F247" s="140">
        <v>7593.9</v>
      </c>
      <c r="G247" s="140">
        <v>0.0</v>
      </c>
      <c r="H247" s="140">
        <v>8870.8</v>
      </c>
      <c r="I247" s="140">
        <v>34106.5</v>
      </c>
      <c r="J247" s="140">
        <v>0.0</v>
      </c>
      <c r="K247" s="140">
        <v>0.0</v>
      </c>
      <c r="L247" s="140">
        <v>7854.0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700.0</v>
      </c>
      <c r="F249" s="136">
        <v>407.42</v>
      </c>
      <c r="G249" s="136">
        <v>0.0</v>
      </c>
      <c r="H249" s="136">
        <v>0.0</v>
      </c>
      <c r="I249" s="136">
        <v>215.0</v>
      </c>
      <c r="J249" s="136">
        <v>485.0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0.0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46081.0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0.0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0.0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46112.0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0.0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0.0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-825.0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0.0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46477.0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-57.07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0.0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0.0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969.04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0.0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39</v>
      </c>
      <c r="D262" s="135">
        <v>675.0</v>
      </c>
      <c r="E262" s="136">
        <v>775.0</v>
      </c>
      <c r="F262" s="136">
        <v>859.4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700.0</v>
      </c>
      <c r="F263" s="136">
        <v>200.61</v>
      </c>
      <c r="G263" s="136">
        <v>0.0</v>
      </c>
      <c r="H263" s="136">
        <v>0.0</v>
      </c>
      <c r="I263" s="136">
        <v>700.0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>
        <v>46356.0</v>
      </c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0.0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46447.0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-36.83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-29.0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-100.0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46403.0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0.0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46418.0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575.0</v>
      </c>
      <c r="F269" s="136">
        <v>-100.0</v>
      </c>
      <c r="G269" s="136">
        <v>0.0</v>
      </c>
      <c r="H269" s="136">
        <v>0.0</v>
      </c>
      <c r="I269" s="136">
        <v>575.0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0.0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0.0</v>
      </c>
      <c r="G271" s="136">
        <v>0.0</v>
      </c>
      <c r="H271" s="136">
        <v>0.0</v>
      </c>
      <c r="I271" s="136">
        <v>56.0</v>
      </c>
      <c r="J271" s="136">
        <v>694.0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46029.0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0.0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46326.0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-582.0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188.17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0.0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750.0</v>
      </c>
      <c r="F276" s="136">
        <v>0.0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0.0</v>
      </c>
      <c r="S276" s="137">
        <v>44742.0</v>
      </c>
      <c r="T276" s="137">
        <v>46203.0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0.0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807.36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46294.0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22100.0</v>
      </c>
      <c r="F279" s="140">
        <v>1702.1</v>
      </c>
      <c r="G279" s="140">
        <v>0.0</v>
      </c>
      <c r="H279" s="140">
        <v>0.0</v>
      </c>
      <c r="I279" s="140">
        <v>18819.0</v>
      </c>
      <c r="J279" s="140">
        <v>3231.0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0.0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320</v>
      </c>
      <c r="D281" s="139">
        <v>229909.0</v>
      </c>
      <c r="E281" s="140">
        <v>203305.8</v>
      </c>
      <c r="F281" s="140">
        <v>38138.63</v>
      </c>
      <c r="G281" s="140">
        <v>900.0</v>
      </c>
      <c r="H281" s="140">
        <v>9050.8</v>
      </c>
      <c r="I281" s="140">
        <v>158397.5</v>
      </c>
      <c r="J281" s="140">
        <v>4159.0</v>
      </c>
      <c r="K281" s="140">
        <v>4491.0</v>
      </c>
      <c r="L281" s="140">
        <v>14724.0</v>
      </c>
      <c r="M281" s="140">
        <v>1958.0</v>
      </c>
      <c r="N281" s="140">
        <v>9120.0</v>
      </c>
      <c r="O281" s="140">
        <v>425.0</v>
      </c>
      <c r="P281" s="140">
        <v>25.0</v>
      </c>
      <c r="Q281" s="140">
        <v>15.0</v>
      </c>
      <c r="R281" s="140">
        <v>40.5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0.9059529412</v>
      </c>
      <c r="D282" s="145">
        <f t="shared" ref="D282:D284" si="2">IFERROR(
  SUMPRODUCT((A$285:A$295=A282)*D$285:D$295*I$285:I$295) /
  SUMPRODUCT((A$285:A$295=A282)*I$285:I$295),
0)</f>
        <v>0.9063765904</v>
      </c>
      <c r="E282" s="146">
        <f t="shared" ref="E282:E284" si="3">IFERROR(
  SUMPRODUCT((A$285:A$295=A282)*E$285:E$295),
0)
</f>
        <v>5765.59</v>
      </c>
      <c r="F282" s="147">
        <f t="shared" ref="F282:F284" si="4">IFERROR(
  SUMPRODUCT((A$285:A$295=A282)*F$285:F$295),
0)
</f>
        <v>8534.09</v>
      </c>
      <c r="G282" s="148">
        <f t="shared" ref="G282:G284" si="5">IFERROR(
  SUMPRODUCT((A$285:A$295=A282)*G$285:G$295),
0)
</f>
        <v>2</v>
      </c>
      <c r="H282" s="149">
        <f t="shared" ref="H282:H284" si="6">IFERROR(
  SUMPRODUCT((A$285:A$295=A282)*H$285:H$295*I$285:I$295) /
  SUMPRODUCT((A$285:A$295=A282)*I$285:I$295),
0)</f>
        <v>0.7897058824</v>
      </c>
    </row>
    <row r="283" ht="18.0" customHeight="1">
      <c r="A283" s="152" t="s">
        <v>251</v>
      </c>
      <c r="B283" s="153"/>
      <c r="C283" s="154">
        <f t="shared" si="1"/>
        <v>0.8082876712</v>
      </c>
      <c r="D283" s="155">
        <f t="shared" si="2"/>
        <v>0.7631710915</v>
      </c>
      <c r="E283" s="156">
        <f t="shared" si="3"/>
        <v>9870.96</v>
      </c>
      <c r="F283" s="157">
        <f t="shared" si="4"/>
        <v>17202.21</v>
      </c>
      <c r="G283" s="158">
        <f t="shared" si="5"/>
        <v>2</v>
      </c>
      <c r="H283" s="149">
        <f t="shared" si="6"/>
        <v>0.7564974079</v>
      </c>
    </row>
    <row r="284" ht="18.0" customHeight="1">
      <c r="A284" s="160" t="s">
        <v>252</v>
      </c>
      <c r="B284" s="161"/>
      <c r="C284" s="162">
        <f t="shared" si="1"/>
        <v>0.8888888889</v>
      </c>
      <c r="D284" s="163">
        <f t="shared" si="2"/>
        <v>0.9260220625</v>
      </c>
      <c r="E284" s="164">
        <f t="shared" si="3"/>
        <v>5933.95</v>
      </c>
      <c r="F284" s="165">
        <f t="shared" si="4"/>
        <v>12402.33</v>
      </c>
      <c r="G284" s="166">
        <f t="shared" si="5"/>
        <v>1</v>
      </c>
      <c r="H284" s="149">
        <f t="shared" si="6"/>
        <v>0.5998877666</v>
      </c>
    </row>
    <row r="285" ht="18.0" customHeight="1">
      <c r="A285" s="169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"),0.75)</f>
        <v>0.75</v>
      </c>
      <c r="D285" s="172">
        <f t="array" ref="D285">SUM(MAP(E11:E14, F11:F14, LAMBDA(e,f, MAX(0, e-f)))) / SUM(E11:E14)
</f>
        <v>0.7008547009</v>
      </c>
      <c r="E285" s="173">
        <f t="array" ref="E285">SUM(MAP(E$11:E$14, F$11:F$14, LAMBDA(e,f, MIN(e, f))))
</f>
        <v>875</v>
      </c>
      <c r="F285" s="174">
        <f>F15</f>
        <v>908.75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"),1.0)</f>
        <v>1</v>
      </c>
      <c r="I285" s="175">
        <v>4.0</v>
      </c>
      <c r="J285" s="177">
        <v>46340.0</v>
      </c>
    </row>
    <row r="286" ht="18.0" customHeight="1">
      <c r="A286" s="169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1</v>
      </c>
      <c r="E286" s="173">
        <f t="array" ref="E286">SUM(MAP(E$17:E$22, F$17:F$22, LAMBDA(e,f, MIN(e, f))))
</f>
        <v>0</v>
      </c>
      <c r="F286" s="174">
        <f>F23</f>
        <v>0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"),0.75)</f>
        <v>0.75</v>
      </c>
      <c r="I286" s="175">
        <v>6.0</v>
      </c>
      <c r="J286" s="179" t="s">
        <v>255</v>
      </c>
    </row>
    <row r="287" ht="18.0" customHeight="1">
      <c r="A287" s="169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"),0.8)</f>
        <v>0.8</v>
      </c>
      <c r="D287" s="172">
        <f t="array" ref="D287">SUM(MAP(E25:E29, F25:F29, LAMBDA(e, f, MAX(0, e - f)))) / SUM(E25:E29)</f>
        <v>0.7521367521</v>
      </c>
      <c r="E287" s="173">
        <f t="array" ref="E287">SUM(MAP(E$25:E$29, F$25:F$29, LAMBDA(e,f, MIN(e, f))))
</f>
        <v>725</v>
      </c>
      <c r="F287" s="174">
        <f>F30</f>
        <v>1230</v>
      </c>
      <c r="G287" s="175">
        <f>IFERROR(__xludf.DUMMYFUNCTION("SUMPRODUCT(--(C25:C29&lt;&gt;""Vacant-Unrented""),--(C25:C29&lt;&gt;""Vacant-Rented""),--((N(W25:W29)&gt;N(X25:X29))+N(REGEXMATCH(LOWER(C25:C29),""evict""))&gt;0))"),0.0)</f>
        <v>0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"),1.0)</f>
        <v>1</v>
      </c>
      <c r="I287" s="175">
        <v>5.0</v>
      </c>
      <c r="J287" s="179" t="s">
        <v>257</v>
      </c>
    </row>
    <row r="288" ht="18.0" customHeight="1">
      <c r="A288" s="169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1.064571429</v>
      </c>
      <c r="E288" s="173">
        <f t="array" ref="E288">SUM(MAP(E$32:E$33, F$32:F$33, LAMBDA(e,f, MIN(e, f))))
</f>
        <v>-90.4</v>
      </c>
      <c r="F288" s="174">
        <f>F34</f>
        <v>-90.4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  <c r="J288" s="179" t="s">
        <v>259</v>
      </c>
    </row>
    <row r="289" ht="18.0" customHeight="1">
      <c r="A289" s="169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1</v>
      </c>
      <c r="E289" s="173">
        <f t="array" ref="E289">SUM(MAP(E$36:E$37, F$36:F$37, LAMBDA(e,f, MIN(e, f))))
</f>
        <v>0</v>
      </c>
      <c r="F289" s="174">
        <f>F38</f>
        <v>0</v>
      </c>
      <c r="G289" s="175">
        <f>IFERROR(__xludf.DUMMYFUNCTION("SUMPRODUCT(--(C40:C75&lt;&gt;""Vacant-Unrented""),--(C40:C75&lt;&gt;""Vacant-Rented""),--((N(W40:W75)&gt;N(X40:X75))+N(REGEXMATCH(LOWER(C40:C75),""evict""))&gt;0))"),1.0)</f>
        <v>1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  <c r="J289" s="179" t="s">
        <v>261</v>
      </c>
    </row>
    <row r="290" ht="18.0" customHeight="1">
      <c r="A290" s="180" t="s">
        <v>250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0.8954346534</v>
      </c>
      <c r="E290" s="173">
        <f t="array" ref="E290">SUM(MAP(E$40:E$75, F$40:F$75, LAMBDA(e,f, MIN(e, f))))
</f>
        <v>2814.69</v>
      </c>
      <c r="F290" s="174">
        <f>F76</f>
        <v>4783.64</v>
      </c>
      <c r="G290" s="175">
        <f>IFERROR(__xludf.DUMMYFUNCTION("SUMPRODUCT(--(C40:C75&lt;&gt;""Vacant-Unrented""),--(C40:C75&lt;&gt;""Vacant-Rented""),--((N(W40:W75)&gt;N(X40:X75))+N(REGEXMATCH(LOWER(C40:C75),""evict""))&gt;0))"),1.0)</f>
        <v>1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"),0.65625)</f>
        <v>0.65625</v>
      </c>
      <c r="I290" s="175">
        <v>36.0</v>
      </c>
      <c r="J290" s="179" t="s">
        <v>263</v>
      </c>
    </row>
    <row r="291" ht="18.0" customHeight="1">
      <c r="A291" s="169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"),0.745)</f>
        <v>0.745</v>
      </c>
      <c r="D291" s="172">
        <f t="array" ref="D291">SUM(MAP(E79:E129, F79:F129, LAMBDA(e,f, MAX(0, e-f)))) / SUM(E79:E129)
</f>
        <v>0.7064291551</v>
      </c>
      <c r="E291" s="173">
        <f t="array" ref="E291">SUM(MAP(E$78:E$128, F$78:F$128, LAMBDA(e,f, MIN(e, f))))
</f>
        <v>8264.94</v>
      </c>
      <c r="F291" s="174">
        <f>F129</f>
        <v>15446.19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"),2.0)</f>
        <v>2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"),0.8157894736842105)</f>
        <v>0.8157894737</v>
      </c>
      <c r="I291" s="175">
        <v>51.0</v>
      </c>
      <c r="J291" s="179" t="s">
        <v>265</v>
      </c>
    </row>
    <row r="292" ht="18.0" customHeight="1">
      <c r="A292" s="169" t="s">
        <v>252</v>
      </c>
      <c r="B292" s="170" t="s">
        <v>266</v>
      </c>
      <c r="C292" s="171">
        <f>IFERROR(__xludf.DUMMYFUNCTION("IF(ISNUMBER(SEARCH(""%"",C171)), VALUE(REGEXREPLACE(C171,""[^0-9.]"",""""))/100, VALUE(REGEXREPLACE(C171,""[^0-9.]"","""")))
"),0.9)</f>
        <v>0.9</v>
      </c>
      <c r="D292" s="172">
        <f t="array" ref="D292">SUM(MAP(E131:E170, F131:F170, LAMBDA(e,f, MAX(0, e-f)))) / SUM(E131:E170)
</f>
        <v>0.8877374264</v>
      </c>
      <c r="E292" s="173">
        <f t="array" ref="E292">SUM(MAP(E$131:E$170, F$131:F$170, LAMBDA(e,f, MIN(e, f))))
</f>
        <v>3726.5</v>
      </c>
      <c r="F292" s="174">
        <f>F171</f>
        <v>4808.43</v>
      </c>
      <c r="G292" s="175">
        <f>IFERROR(__xludf.DUMMYFUNCTION("SUMPRODUCT(--(C131:C170&lt;&gt;""Vacant-Unrented""),--(C131:C170&lt;&gt;""Vacant-Rented""),--((N(W131:W170)&gt;N(X131:X170))+N(REGEXMATCH(LOWER(C131:C170),""evict""))&gt;0))"),0.0)</f>
        <v>0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"),0.6111111111111112)</f>
        <v>0.6111111111</v>
      </c>
      <c r="I292" s="175">
        <v>40.0</v>
      </c>
      <c r="J292" s="179" t="s">
        <v>267</v>
      </c>
    </row>
    <row r="293" ht="18.0" customHeight="1">
      <c r="A293" s="180" t="s">
        <v>251</v>
      </c>
      <c r="B293" s="170" t="s">
        <v>268</v>
      </c>
      <c r="C293" s="171">
        <f>IFERROR(__xludf.DUMMYFUNCTION("IF(ISNUMBER(SEARCH(""%"",C195)), VALUE(REGEXREPLACE(C195,""[^0-9.]"",""""))/100, VALUE(REGEXREPLACE(C195,""[^0-9.]"","""")))
"),0.955)</f>
        <v>0.955</v>
      </c>
      <c r="D293" s="172">
        <f t="array" ref="D293">SUM(MAP(E174:E195, F174:F195, LAMBDA(e,f, MAX(0, e-f)))) / SUM(E174:E195)
</f>
        <v>0.8947092167</v>
      </c>
      <c r="E293" s="173">
        <f t="array" ref="E293">SUM(MAP(E$173:E$194, F$173:F$194, LAMBDA(e,f, MIN(e, f))))
</f>
        <v>1606.02</v>
      </c>
      <c r="F293" s="174">
        <f>F195</f>
        <v>1756.02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"),0.6190476190476191)</f>
        <v>0.619047619</v>
      </c>
      <c r="I293" s="175">
        <v>22.0</v>
      </c>
      <c r="J293" s="179" t="s">
        <v>269</v>
      </c>
    </row>
    <row r="294" ht="18.0" customHeight="1">
      <c r="A294" s="169" t="s">
        <v>252</v>
      </c>
      <c r="B294" s="170" t="s">
        <v>270</v>
      </c>
      <c r="C294" s="171">
        <f>IFERROR(__xludf.DUMMYFUNCTION("IF(ISNUMBER(SEARCH(""%"",C247)), VALUE(REGEXREPLACE(C247,""[^0-9.]"",""""))/100, VALUE(REGEXREPLACE(C247,""[^0-9.]"","""")))
"),0.88)</f>
        <v>0.88</v>
      </c>
      <c r="D294" s="172">
        <f t="array" ref="D294">SUM(MAP(E197:E246, F197:F246, LAMBDA(e,f, MAX(0, e-f)))) / SUM(E197:E246)
</f>
        <v>0.9566497713</v>
      </c>
      <c r="E294" s="173">
        <f t="array" ref="E294">SUM(MAP(E$197:E$246, F$197:F$246, LAMBDA(e,f, MIN(e, f))))
</f>
        <v>2207.45</v>
      </c>
      <c r="F294" s="174">
        <f>F247</f>
        <v>7593.9</v>
      </c>
      <c r="G294" s="175">
        <f>IFERROR(__xludf.DUMMYFUNCTION("SUMPRODUCT(--(C197:C246&lt;&gt;""Vacant-Unrented""),--(C197:C246&lt;&gt;""Vacant-Rented""),--((N(W197:W246)&gt;N(X197:X246))+N(REGEXMATCH(LOWER(C197:C246),""evict""))&gt;0))"),1.0)</f>
        <v>1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"),0.5909090909090909)</f>
        <v>0.5909090909</v>
      </c>
      <c r="I294" s="175">
        <v>50.0</v>
      </c>
      <c r="J294" s="179" t="s">
        <v>271</v>
      </c>
    </row>
    <row r="295" ht="18.0" customHeight="1">
      <c r="A295" s="180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0.937103908</v>
      </c>
      <c r="E295" s="183">
        <f t="array" ref="E295">SUM(MAP(E$249:E$278, F$249:F$278, LAMBDA(e,f, MIN(e, f))))
</f>
        <v>1441.3</v>
      </c>
      <c r="F295" s="184">
        <f>F279</f>
        <v>1702.1</v>
      </c>
      <c r="G295" s="185">
        <f>IFERROR(__xludf.DUMMYFUNCTION("SUMPRODUCT(--(C249:C278&lt;&gt;""Vacant-Unrented""),--(C249:C278&lt;&gt;""Vacant-Rented""),--((N(W249:W278)&gt;N(X249:X278))+N(REGEXMATCH(LOWER(C249:C278),""evict""))&gt;0))"),0.0)</f>
        <v>0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"),0.8666666666666667)</f>
        <v>0.8666666667</v>
      </c>
      <c r="I295" s="175">
        <v>30.0</v>
      </c>
      <c r="J295" s="179" t="s">
        <v>273</v>
      </c>
    </row>
    <row r="296" ht="18.0" customHeight="1">
      <c r="A296" s="186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0)"),0.8720380228136883)</f>
        <v>0.8720380228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"),0.8938962882514911)</f>
        <v>0.8938962883</v>
      </c>
      <c r="E296" s="190">
        <f t="shared" ref="E296:G296" si="7">sum(E285:E295)</f>
        <v>21570.5</v>
      </c>
      <c r="F296" s="190">
        <f t="shared" si="7"/>
        <v>38138.63</v>
      </c>
      <c r="G296" s="191">
        <f t="shared" si="7"/>
        <v>5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"),0.7083333333333334)</f>
        <v>0.7083333333</v>
      </c>
      <c r="I296" s="193"/>
      <c r="J296" s="194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5"/>
    <col customWidth="1" min="7" max="7" width="31.25"/>
    <col customWidth="1" min="8" max="8" width="111.13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28" t="s">
        <v>10</v>
      </c>
    </row>
    <row r="2" ht="18.0" customHeight="1">
      <c r="A2" s="130" t="s">
        <v>321</v>
      </c>
    </row>
    <row r="3" ht="18.0" customHeight="1">
      <c r="A3" s="130"/>
    </row>
    <row r="4" ht="18.0" customHeight="1">
      <c r="A4" s="131" t="s">
        <v>322</v>
      </c>
    </row>
    <row r="5" ht="18.0" customHeight="1">
      <c r="A5" s="131" t="s">
        <v>323</v>
      </c>
    </row>
    <row r="6" ht="18.0" customHeight="1">
      <c r="A6" s="131" t="s">
        <v>324</v>
      </c>
    </row>
    <row r="7" ht="18.0" customHeight="1">
      <c r="A7" s="131" t="s">
        <v>325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978.75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0.0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47</v>
      </c>
      <c r="D14" s="135">
        <v>950.0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7"/>
      <c r="T14" s="137"/>
    </row>
    <row r="15" ht="18.0" customHeight="1">
      <c r="A15" s="138" t="s">
        <v>43</v>
      </c>
      <c r="B15" s="138"/>
      <c r="C15" s="138" t="s">
        <v>313</v>
      </c>
      <c r="D15" s="139">
        <v>3800.0</v>
      </c>
      <c r="E15" s="140">
        <v>2925.0</v>
      </c>
      <c r="F15" s="140">
        <v>978.75</v>
      </c>
      <c r="G15" s="140">
        <v>0.0</v>
      </c>
      <c r="H15" s="140">
        <v>0.0</v>
      </c>
      <c r="I15" s="140">
        <v>2532.0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46443.0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950.0</v>
      </c>
      <c r="F22" s="136">
        <v>0.0</v>
      </c>
      <c r="G22" s="136">
        <v>0.0</v>
      </c>
      <c r="H22" s="136">
        <v>0.0</v>
      </c>
      <c r="I22" s="136">
        <v>925.0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25.0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3675.0</v>
      </c>
      <c r="F23" s="140">
        <v>0.0</v>
      </c>
      <c r="G23" s="140">
        <v>0.0</v>
      </c>
      <c r="H23" s="140">
        <v>0.0</v>
      </c>
      <c r="I23" s="140">
        <v>3065.0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50.0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47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39</v>
      </c>
      <c r="D28" s="135">
        <v>621.0</v>
      </c>
      <c r="E28" s="136">
        <v>725.0</v>
      </c>
      <c r="F28" s="136">
        <v>1600.0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46431.0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1600.0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750.0</v>
      </c>
      <c r="F32" s="136">
        <v>-90.4</v>
      </c>
      <c r="G32" s="136">
        <v>0.0</v>
      </c>
      <c r="H32" s="136">
        <v>0.0</v>
      </c>
      <c r="I32" s="136">
        <v>750.0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0.0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1400.0</v>
      </c>
      <c r="F34" s="140">
        <v>-90.4</v>
      </c>
      <c r="G34" s="140">
        <v>0.0</v>
      </c>
      <c r="H34" s="140">
        <v>0.0</v>
      </c>
      <c r="I34" s="140">
        <v>1400.0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0.0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46356.0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46035.0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46023.0</v>
      </c>
      <c r="T44" s="137">
        <v>46568.0</v>
      </c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1226.25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46568.0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45954.0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0.0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46355.0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0.0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800.0</v>
      </c>
      <c r="F54" s="136">
        <v>0.0</v>
      </c>
      <c r="G54" s="136">
        <v>0.0</v>
      </c>
      <c r="H54" s="136">
        <v>0.0</v>
      </c>
      <c r="I54" s="136">
        <v>800.0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46387.0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0.0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46081.0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750.0</v>
      </c>
      <c r="F58" s="136">
        <v>0.0</v>
      </c>
      <c r="G58" s="136">
        <v>0.0</v>
      </c>
      <c r="H58" s="136">
        <v>0.0</v>
      </c>
      <c r="I58" s="136">
        <v>750.0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46387.0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0.0</v>
      </c>
      <c r="F60" s="136">
        <v>402.88</v>
      </c>
      <c r="G60" s="136">
        <v>0.0</v>
      </c>
      <c r="H60" s="136">
        <v>0.0</v>
      </c>
      <c r="I60" s="136">
        <v>0.0</v>
      </c>
      <c r="J60" s="136">
        <v>0.0</v>
      </c>
      <c r="K60" s="136">
        <v>0.0</v>
      </c>
      <c r="L60" s="136">
        <v>0.0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99.5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178</v>
      </c>
      <c r="D65" s="135">
        <v>700.0</v>
      </c>
      <c r="E65" s="136">
        <v>825.0</v>
      </c>
      <c r="F65" s="136">
        <v>2277.5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46077.0</v>
      </c>
    </row>
    <row r="68" ht="18.0" customHeight="1">
      <c r="A68" s="134" t="s">
        <v>91</v>
      </c>
      <c r="B68" s="134" t="s">
        <v>38</v>
      </c>
      <c r="C68" s="134" t="s">
        <v>39</v>
      </c>
      <c r="D68" s="135">
        <v>950.0</v>
      </c>
      <c r="E68" s="136">
        <v>800.0</v>
      </c>
      <c r="F68" s="136">
        <v>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942.32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750.0</v>
      </c>
      <c r="F70" s="136">
        <v>0.0</v>
      </c>
      <c r="G70" s="136">
        <v>0.0</v>
      </c>
      <c r="H70" s="136">
        <v>0.0</v>
      </c>
      <c r="I70" s="136">
        <v>750.0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83.0</v>
      </c>
      <c r="F72" s="136">
        <v>-59.81</v>
      </c>
      <c r="G72" s="136">
        <v>0.0</v>
      </c>
      <c r="H72" s="136">
        <v>0.0</v>
      </c>
      <c r="I72" s="136">
        <v>83.0</v>
      </c>
      <c r="J72" s="136">
        <v>0.0</v>
      </c>
      <c r="K72" s="136">
        <v>0.0</v>
      </c>
      <c r="L72" s="136">
        <v>0.0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0.0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46094.0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26918.0</v>
      </c>
      <c r="F76" s="140">
        <v>4888.64</v>
      </c>
      <c r="G76" s="140">
        <v>0.0</v>
      </c>
      <c r="H76" s="140">
        <v>0.0</v>
      </c>
      <c r="I76" s="140">
        <v>26853.0</v>
      </c>
      <c r="J76" s="140">
        <v>0.0</v>
      </c>
      <c r="K76" s="140">
        <v>0.0</v>
      </c>
      <c r="L76" s="140">
        <v>0.0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0.0</v>
      </c>
      <c r="F78" s="136">
        <v>0.0</v>
      </c>
      <c r="G78" s="136">
        <v>0.0</v>
      </c>
      <c r="H78" s="136">
        <v>0.0</v>
      </c>
      <c r="I78" s="136">
        <v>0.0</v>
      </c>
      <c r="J78" s="136">
        <v>0.0</v>
      </c>
      <c r="K78" s="136">
        <v>0.0</v>
      </c>
      <c r="L78" s="136">
        <v>0.0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39</v>
      </c>
      <c r="D79" s="135">
        <v>1400.0</v>
      </c>
      <c r="E79" s="136">
        <v>1350.0</v>
      </c>
      <c r="F79" s="136">
        <v>0.0</v>
      </c>
      <c r="G79" s="136">
        <v>0.0</v>
      </c>
      <c r="H79" s="136">
        <v>0.0</v>
      </c>
      <c r="I79" s="136">
        <v>1350.0</v>
      </c>
      <c r="J79" s="136">
        <v>0.0</v>
      </c>
      <c r="K79" s="136">
        <v>0.0</v>
      </c>
      <c r="L79" s="136">
        <v>0.0</v>
      </c>
      <c r="M79" s="136">
        <v>0.0</v>
      </c>
      <c r="N79" s="136">
        <v>0.0</v>
      </c>
      <c r="O79" s="136">
        <v>0.0</v>
      </c>
      <c r="P79" s="136">
        <v>0.0</v>
      </c>
      <c r="Q79" s="136">
        <v>0.0</v>
      </c>
      <c r="R79" s="136">
        <v>0.0</v>
      </c>
      <c r="S79" s="137">
        <v>46004.0</v>
      </c>
      <c r="T79" s="137">
        <v>46356.0</v>
      </c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39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46073.0</v>
      </c>
    </row>
    <row r="82" ht="18.0" customHeight="1">
      <c r="A82" s="134" t="s">
        <v>108</v>
      </c>
      <c r="B82" s="134" t="s">
        <v>104</v>
      </c>
      <c r="C82" s="134" t="s">
        <v>47</v>
      </c>
      <c r="D82" s="135">
        <v>1400.0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7"/>
      <c r="T82" s="137"/>
    </row>
    <row r="83" ht="18.0" customHeight="1">
      <c r="A83" s="134" t="s">
        <v>109</v>
      </c>
      <c r="B83" s="134" t="s">
        <v>38</v>
      </c>
      <c r="C83" s="134" t="s">
        <v>39</v>
      </c>
      <c r="D83" s="135">
        <v>1400.0</v>
      </c>
      <c r="E83" s="136">
        <v>1099.0</v>
      </c>
      <c r="F83" s="136">
        <v>0.0</v>
      </c>
      <c r="G83" s="136">
        <v>0.0</v>
      </c>
      <c r="H83" s="136">
        <v>0.0</v>
      </c>
      <c r="I83" s="136">
        <v>1099.0</v>
      </c>
      <c r="J83" s="136">
        <v>0.0</v>
      </c>
      <c r="K83" s="136">
        <v>0.0</v>
      </c>
      <c r="L83" s="136">
        <v>0.0</v>
      </c>
      <c r="M83" s="136">
        <v>0.0</v>
      </c>
      <c r="N83" s="136">
        <v>0.0</v>
      </c>
      <c r="O83" s="136">
        <v>0.0</v>
      </c>
      <c r="P83" s="136">
        <v>0.0</v>
      </c>
      <c r="Q83" s="136">
        <v>0.0</v>
      </c>
      <c r="R83" s="136">
        <v>0.0</v>
      </c>
      <c r="S83" s="137">
        <v>45992.0</v>
      </c>
      <c r="T83" s="137">
        <v>46356.0</v>
      </c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-10.01</v>
      </c>
      <c r="G84" s="136">
        <v>0.0</v>
      </c>
      <c r="H84" s="136">
        <v>0.0</v>
      </c>
      <c r="I84" s="136">
        <v>65.0</v>
      </c>
      <c r="J84" s="136">
        <v>0.0</v>
      </c>
      <c r="K84" s="136">
        <v>0.0</v>
      </c>
      <c r="L84" s="136">
        <v>835.0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39</v>
      </c>
      <c r="D86" s="135">
        <v>1400.0</v>
      </c>
      <c r="E86" s="136">
        <v>1099.0</v>
      </c>
      <c r="F86" s="136">
        <v>0.0</v>
      </c>
      <c r="G86" s="136">
        <v>0.0</v>
      </c>
      <c r="H86" s="136">
        <v>0.0</v>
      </c>
      <c r="I86" s="136">
        <v>1099.0</v>
      </c>
      <c r="J86" s="136">
        <v>0.0</v>
      </c>
      <c r="K86" s="136">
        <v>0.0</v>
      </c>
      <c r="L86" s="136">
        <v>0.0</v>
      </c>
      <c r="M86" s="136">
        <v>0.0</v>
      </c>
      <c r="N86" s="136">
        <v>0.0</v>
      </c>
      <c r="O86" s="136">
        <v>0.0</v>
      </c>
      <c r="P86" s="136">
        <v>0.0</v>
      </c>
      <c r="Q86" s="136">
        <v>0.0</v>
      </c>
      <c r="R86" s="136">
        <v>0.0</v>
      </c>
      <c r="S86" s="137">
        <v>46002.0</v>
      </c>
      <c r="T86" s="137">
        <v>46356.0</v>
      </c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100.0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1291.2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47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107</v>
      </c>
      <c r="D93" s="135">
        <v>1400.0</v>
      </c>
      <c r="E93" s="136">
        <v>1150.0</v>
      </c>
      <c r="F93" s="136">
        <v>35.0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41.0</v>
      </c>
      <c r="G95" s="136">
        <v>0.0</v>
      </c>
      <c r="H95" s="136">
        <v>0.0</v>
      </c>
      <c r="I95" s="136">
        <v>371.0</v>
      </c>
      <c r="J95" s="136">
        <v>0.0</v>
      </c>
      <c r="K95" s="136">
        <v>0.0</v>
      </c>
      <c r="L95" s="136">
        <v>529.0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104</v>
      </c>
      <c r="C96" s="134" t="s">
        <v>39</v>
      </c>
      <c r="D96" s="135">
        <v>1400.0</v>
      </c>
      <c r="E96" s="136">
        <v>1365.0</v>
      </c>
      <c r="F96" s="136">
        <v>-1.0</v>
      </c>
      <c r="G96" s="136">
        <v>0.0</v>
      </c>
      <c r="H96" s="136">
        <v>0.0</v>
      </c>
      <c r="I96" s="136">
        <v>1350.0</v>
      </c>
      <c r="J96" s="136">
        <v>0.0</v>
      </c>
      <c r="K96" s="136">
        <v>0.0</v>
      </c>
      <c r="L96" s="136">
        <v>0.0</v>
      </c>
      <c r="M96" s="136">
        <v>0.0</v>
      </c>
      <c r="N96" s="136">
        <v>0.0</v>
      </c>
      <c r="O96" s="136">
        <v>0.0</v>
      </c>
      <c r="P96" s="136">
        <v>0.0</v>
      </c>
      <c r="Q96" s="136">
        <v>0.0</v>
      </c>
      <c r="R96" s="136">
        <v>15.0</v>
      </c>
      <c r="S96" s="137">
        <v>46006.0</v>
      </c>
      <c r="T96" s="137">
        <v>46356.0</v>
      </c>
    </row>
    <row r="97" ht="18.0" customHeight="1">
      <c r="A97" s="134" t="s">
        <v>124</v>
      </c>
      <c r="B97" s="134" t="s">
        <v>115</v>
      </c>
      <c r="C97" s="134" t="s">
        <v>178</v>
      </c>
      <c r="D97" s="135">
        <v>1400.0</v>
      </c>
      <c r="E97" s="136">
        <v>1300.0</v>
      </c>
      <c r="F97" s="136">
        <v>4150.0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-50.0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67.5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>
        <v>46356.0</v>
      </c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1121.25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297</v>
      </c>
      <c r="D108" s="135">
        <v>1400.0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7"/>
      <c r="T108" s="137"/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47</v>
      </c>
      <c r="D113" s="135">
        <v>1400.0</v>
      </c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7"/>
      <c r="T113" s="137"/>
    </row>
    <row r="114" ht="18.0" customHeight="1">
      <c r="A114" s="134" t="s">
        <v>141</v>
      </c>
      <c r="B114" s="134" t="s">
        <v>38</v>
      </c>
      <c r="C114" s="134" t="s">
        <v>178</v>
      </c>
      <c r="D114" s="135">
        <v>1400.0</v>
      </c>
      <c r="E114" s="136">
        <v>900.0</v>
      </c>
      <c r="F114" s="136">
        <v>3600.0</v>
      </c>
      <c r="G114" s="136">
        <v>0.0</v>
      </c>
      <c r="H114" s="136">
        <v>0.0</v>
      </c>
      <c r="I114" s="136">
        <v>0.0</v>
      </c>
      <c r="J114" s="136">
        <v>0.0</v>
      </c>
      <c r="K114" s="136">
        <v>0.0</v>
      </c>
      <c r="L114" s="136">
        <v>900.0</v>
      </c>
      <c r="M114" s="136">
        <v>0.0</v>
      </c>
      <c r="N114" s="136">
        <v>0.0</v>
      </c>
      <c r="O114" s="136">
        <v>0.0</v>
      </c>
      <c r="P114" s="136">
        <v>0.0</v>
      </c>
      <c r="Q114" s="136">
        <v>0.0</v>
      </c>
      <c r="R114" s="136">
        <v>0.0</v>
      </c>
      <c r="S114" s="137">
        <v>45231.0</v>
      </c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0.0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45992.0</v>
      </c>
      <c r="T115" s="137">
        <v>46356.0</v>
      </c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-83.0</v>
      </c>
      <c r="G116" s="136">
        <v>0.0</v>
      </c>
      <c r="H116" s="136">
        <v>0.0</v>
      </c>
      <c r="I116" s="136">
        <v>125.0</v>
      </c>
      <c r="J116" s="136">
        <v>0.0</v>
      </c>
      <c r="K116" s="136">
        <v>0.0</v>
      </c>
      <c r="L116" s="136">
        <v>850.0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45992.0</v>
      </c>
      <c r="T116" s="137">
        <v>46356.0</v>
      </c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0.0</v>
      </c>
      <c r="G118" s="136">
        <v>0.0</v>
      </c>
      <c r="H118" s="136">
        <v>0.0</v>
      </c>
      <c r="I118" s="136">
        <v>334.0</v>
      </c>
      <c r="J118" s="136">
        <v>0.0</v>
      </c>
      <c r="K118" s="136">
        <v>0.0</v>
      </c>
      <c r="L118" s="136">
        <v>1016.0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-5.0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665.75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1400.0</v>
      </c>
      <c r="F125" s="136">
        <v>-148.0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50.0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67.5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107</v>
      </c>
      <c r="D128" s="135">
        <v>1400.0</v>
      </c>
      <c r="E128" s="136">
        <v>1000.0</v>
      </c>
      <c r="F128" s="136">
        <v>950.0</v>
      </c>
      <c r="G128" s="136">
        <v>0.0</v>
      </c>
      <c r="H128" s="136">
        <v>0.0</v>
      </c>
      <c r="I128" s="136">
        <v>1000.0</v>
      </c>
      <c r="J128" s="136">
        <v>0.0</v>
      </c>
      <c r="K128" s="136">
        <v>0.0</v>
      </c>
      <c r="L128" s="136">
        <v>0.0</v>
      </c>
      <c r="M128" s="136">
        <v>0.0</v>
      </c>
      <c r="N128" s="136">
        <v>0.0</v>
      </c>
      <c r="O128" s="136">
        <v>0.0</v>
      </c>
      <c r="P128" s="136">
        <v>0.0</v>
      </c>
      <c r="Q128" s="136">
        <v>0.0</v>
      </c>
      <c r="R128" s="136">
        <v>0.0</v>
      </c>
      <c r="S128" s="137">
        <v>44927.0</v>
      </c>
      <c r="T128" s="137"/>
    </row>
    <row r="129" ht="18.0" customHeight="1">
      <c r="A129" s="138" t="s">
        <v>156</v>
      </c>
      <c r="B129" s="138"/>
      <c r="C129" s="138" t="s">
        <v>157</v>
      </c>
      <c r="D129" s="139">
        <v>71400.0</v>
      </c>
      <c r="E129" s="140">
        <v>44198.0</v>
      </c>
      <c r="F129" s="140">
        <v>11792.19</v>
      </c>
      <c r="G129" s="140">
        <v>0.0</v>
      </c>
      <c r="H129" s="140">
        <v>0.0</v>
      </c>
      <c r="I129" s="140">
        <v>37263.0</v>
      </c>
      <c r="J129" s="140">
        <v>0.0</v>
      </c>
      <c r="K129" s="140">
        <v>0.0</v>
      </c>
      <c r="L129" s="140">
        <v>6870.0</v>
      </c>
      <c r="M129" s="140">
        <v>0.0</v>
      </c>
      <c r="N129" s="140">
        <v>0.0</v>
      </c>
      <c r="O129" s="140">
        <v>50.0</v>
      </c>
      <c r="P129" s="140">
        <v>0.0</v>
      </c>
      <c r="Q129" s="140">
        <v>0.0</v>
      </c>
      <c r="R129" s="140">
        <v>15.0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0.0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0.0</v>
      </c>
      <c r="G132" s="136">
        <v>900.0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0.0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-10.0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-100.0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0.0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47</v>
      </c>
      <c r="D138" s="135">
        <v>800.0</v>
      </c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7"/>
      <c r="T138" s="137"/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1050.0</v>
      </c>
      <c r="F139" s="136">
        <v>160.0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1000.0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>
        <v>46203.0</v>
      </c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172.0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1225.0</v>
      </c>
      <c r="F141" s="136">
        <v>0.0</v>
      </c>
      <c r="G141" s="136">
        <v>0.0</v>
      </c>
      <c r="H141" s="136">
        <v>50.0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-100.0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1230.0</v>
      </c>
      <c r="F143" s="136">
        <v>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1150.0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>
        <v>46387.0</v>
      </c>
    </row>
    <row r="144" ht="18.0" customHeight="1">
      <c r="A144" s="134" t="s">
        <v>173</v>
      </c>
      <c r="B144" s="134" t="s">
        <v>168</v>
      </c>
      <c r="C144" s="134" t="s">
        <v>39</v>
      </c>
      <c r="D144" s="135">
        <v>1000.0</v>
      </c>
      <c r="E144" s="136">
        <v>1125.0</v>
      </c>
      <c r="F144" s="136">
        <v>0.0</v>
      </c>
      <c r="G144" s="136">
        <v>0.0</v>
      </c>
      <c r="H144" s="136">
        <v>0.0</v>
      </c>
      <c r="I144" s="136">
        <v>1125.0</v>
      </c>
      <c r="J144" s="136">
        <v>0.0</v>
      </c>
      <c r="K144" s="136">
        <v>0.0</v>
      </c>
      <c r="L144" s="136">
        <v>0.0</v>
      </c>
      <c r="M144" s="136">
        <v>0.0</v>
      </c>
      <c r="N144" s="136">
        <v>0.0</v>
      </c>
      <c r="O144" s="136">
        <v>0.0</v>
      </c>
      <c r="P144" s="136">
        <v>0.0</v>
      </c>
      <c r="Q144" s="136">
        <v>0.0</v>
      </c>
      <c r="R144" s="136">
        <v>0.0</v>
      </c>
      <c r="S144" s="137">
        <v>45996.0</v>
      </c>
      <c r="T144" s="137">
        <v>46356.0</v>
      </c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421.0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46568.0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0.0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0.0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0.0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0.0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>
        <v>46356.0</v>
      </c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1000.0</v>
      </c>
      <c r="F153" s="136">
        <v>-466.0</v>
      </c>
      <c r="G153" s="136">
        <v>0.0</v>
      </c>
      <c r="H153" s="136">
        <v>0.0</v>
      </c>
      <c r="I153" s="136">
        <v>255.0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>
        <v>46387.0</v>
      </c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1723.43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0.0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>
        <v>46418.0</v>
      </c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0.0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>
        <v>46326.0</v>
      </c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0.0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47</v>
      </c>
      <c r="D159" s="135">
        <v>850.0</v>
      </c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7"/>
      <c r="T159" s="137"/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0.0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>
        <v>46326.0</v>
      </c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-15.0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>
        <v>46387.0</v>
      </c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357.0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5.0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0.0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0.0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39</v>
      </c>
      <c r="D166" s="135">
        <v>850.0</v>
      </c>
      <c r="E166" s="136">
        <v>1000.0</v>
      </c>
      <c r="F166" s="136">
        <v>1200.0</v>
      </c>
      <c r="G166" s="136">
        <v>0.0</v>
      </c>
      <c r="H166" s="136">
        <v>0.0</v>
      </c>
      <c r="I166" s="136">
        <v>1000.0</v>
      </c>
      <c r="J166" s="136">
        <v>0.0</v>
      </c>
      <c r="K166" s="136">
        <v>0.0</v>
      </c>
      <c r="L166" s="136">
        <v>0.0</v>
      </c>
      <c r="M166" s="136">
        <v>0.0</v>
      </c>
      <c r="N166" s="136">
        <v>0.0</v>
      </c>
      <c r="O166" s="136">
        <v>0.0</v>
      </c>
      <c r="P166" s="136">
        <v>0.0</v>
      </c>
      <c r="Q166" s="136">
        <v>0.0</v>
      </c>
      <c r="R166" s="136">
        <v>0.0</v>
      </c>
      <c r="S166" s="137">
        <v>45786.0</v>
      </c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46387.0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843.0</v>
      </c>
      <c r="F168" s="136">
        <v>406.0</v>
      </c>
      <c r="G168" s="136">
        <v>0.0</v>
      </c>
      <c r="H168" s="136">
        <v>0.0</v>
      </c>
      <c r="I168" s="136">
        <v>406.0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437.0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46387.0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900.0</v>
      </c>
      <c r="F169" s="136">
        <v>0.0</v>
      </c>
      <c r="G169" s="136">
        <v>0.0</v>
      </c>
      <c r="H169" s="136">
        <v>0.0</v>
      </c>
      <c r="I169" s="136">
        <v>900.0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>
        <v>46387.0</v>
      </c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280</v>
      </c>
      <c r="D171" s="139">
        <v>34800.0</v>
      </c>
      <c r="E171" s="140">
        <v>33194.5</v>
      </c>
      <c r="F171" s="140">
        <v>3753.43</v>
      </c>
      <c r="G171" s="140">
        <v>900.0</v>
      </c>
      <c r="H171" s="140">
        <v>180.0</v>
      </c>
      <c r="I171" s="140">
        <v>16410.0</v>
      </c>
      <c r="J171" s="140">
        <v>0.0</v>
      </c>
      <c r="K171" s="140">
        <v>4491.0</v>
      </c>
      <c r="L171" s="140">
        <v>0.0</v>
      </c>
      <c r="M171" s="140">
        <v>1958.0</v>
      </c>
      <c r="N171" s="140">
        <v>9120.0</v>
      </c>
      <c r="O171" s="140">
        <v>125.0</v>
      </c>
      <c r="P171" s="140">
        <v>0.0</v>
      </c>
      <c r="Q171" s="140">
        <v>0.0</v>
      </c>
      <c r="R171" s="140">
        <v>10.5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657.5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580.0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0.0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795.0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602.0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238.0</v>
      </c>
      <c r="F190" s="136">
        <v>-203.48</v>
      </c>
      <c r="G190" s="136">
        <v>0.0</v>
      </c>
      <c r="H190" s="136">
        <v>0.0</v>
      </c>
      <c r="I190" s="136">
        <v>238.0</v>
      </c>
      <c r="J190" s="136">
        <v>0.0</v>
      </c>
      <c r="K190" s="136">
        <v>0.0</v>
      </c>
      <c r="L190" s="136">
        <v>0.0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297</v>
      </c>
      <c r="D192" s="135">
        <v>825.0</v>
      </c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7"/>
      <c r="T192" s="137"/>
    </row>
    <row r="193" ht="18.0" customHeight="1">
      <c r="A193" s="134" t="s">
        <v>224</v>
      </c>
      <c r="B193" s="134" t="s">
        <v>56</v>
      </c>
      <c r="C193" s="134" t="s">
        <v>39</v>
      </c>
      <c r="D193" s="135">
        <v>750.0</v>
      </c>
      <c r="E193" s="136">
        <v>840.0</v>
      </c>
      <c r="F193" s="136">
        <v>0.0</v>
      </c>
      <c r="G193" s="136">
        <v>0.0</v>
      </c>
      <c r="H193" s="136">
        <v>0.0</v>
      </c>
      <c r="I193" s="136">
        <v>800.0</v>
      </c>
      <c r="J193" s="136">
        <v>0.0</v>
      </c>
      <c r="K193" s="136">
        <v>0.0</v>
      </c>
      <c r="L193" s="136">
        <v>0.0</v>
      </c>
      <c r="M193" s="136">
        <v>0.0</v>
      </c>
      <c r="N193" s="136">
        <v>0.0</v>
      </c>
      <c r="O193" s="136">
        <v>25.0</v>
      </c>
      <c r="P193" s="136">
        <v>0.0</v>
      </c>
      <c r="Q193" s="136">
        <v>0.0</v>
      </c>
      <c r="R193" s="136">
        <v>15.0</v>
      </c>
      <c r="S193" s="137">
        <v>45987.0</v>
      </c>
      <c r="T193" s="137">
        <v>46326.0</v>
      </c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750.0</v>
      </c>
      <c r="F194" s="136">
        <v>-775.0</v>
      </c>
      <c r="G194" s="136">
        <v>0.0</v>
      </c>
      <c r="H194" s="136">
        <v>0.0</v>
      </c>
      <c r="I194" s="136">
        <v>750.0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/>
    </row>
    <row r="195" ht="18.0" customHeight="1">
      <c r="A195" s="138" t="s">
        <v>226</v>
      </c>
      <c r="B195" s="138"/>
      <c r="C195" s="138" t="s">
        <v>306</v>
      </c>
      <c r="D195" s="139">
        <v>17550.0</v>
      </c>
      <c r="E195" s="140">
        <v>16463.0</v>
      </c>
      <c r="F195" s="140">
        <v>1656.02</v>
      </c>
      <c r="G195" s="140">
        <v>0.0</v>
      </c>
      <c r="H195" s="140">
        <v>0.0</v>
      </c>
      <c r="I195" s="140">
        <v>16423.0</v>
      </c>
      <c r="J195" s="140">
        <v>0.0</v>
      </c>
      <c r="K195" s="140">
        <v>0.0</v>
      </c>
      <c r="L195" s="140">
        <v>0.0</v>
      </c>
      <c r="M195" s="140">
        <v>0.0</v>
      </c>
      <c r="N195" s="140">
        <v>0.0</v>
      </c>
      <c r="O195" s="140">
        <v>25.0</v>
      </c>
      <c r="P195" s="140">
        <v>0.0</v>
      </c>
      <c r="Q195" s="140">
        <v>0.0</v>
      </c>
      <c r="R195" s="140">
        <v>15.0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221.0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13.0</v>
      </c>
      <c r="G199" s="136">
        <v>0.0</v>
      </c>
      <c r="H199" s="136">
        <v>225.0</v>
      </c>
      <c r="I199" s="136">
        <v>122.0</v>
      </c>
      <c r="J199" s="136">
        <v>0.0</v>
      </c>
      <c r="K199" s="136">
        <v>0.0</v>
      </c>
      <c r="L199" s="136">
        <v>903.0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1175.0</v>
      </c>
      <c r="F200" s="136">
        <v>338.75</v>
      </c>
      <c r="G200" s="136">
        <v>0.0</v>
      </c>
      <c r="H200" s="136">
        <v>225.0</v>
      </c>
      <c r="I200" s="136">
        <v>950.0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-924.0</v>
      </c>
      <c r="G202" s="136">
        <v>0.0</v>
      </c>
      <c r="H202" s="136">
        <v>225.0</v>
      </c>
      <c r="I202" s="136">
        <v>144.0</v>
      </c>
      <c r="J202" s="136">
        <v>0.0</v>
      </c>
      <c r="K202" s="136">
        <v>0.0</v>
      </c>
      <c r="L202" s="136">
        <v>881.0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957.51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424.0</v>
      </c>
      <c r="F207" s="136">
        <v>-19.26</v>
      </c>
      <c r="G207" s="136">
        <v>0.0</v>
      </c>
      <c r="H207" s="136">
        <v>225.0</v>
      </c>
      <c r="I207" s="136">
        <v>199.0</v>
      </c>
      <c r="J207" s="136">
        <v>0.0</v>
      </c>
      <c r="K207" s="136">
        <v>0.0</v>
      </c>
      <c r="L207" s="136">
        <v>0.0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-91.25</v>
      </c>
      <c r="G208" s="136">
        <v>0.0</v>
      </c>
      <c r="H208" s="136">
        <v>225.0</v>
      </c>
      <c r="I208" s="136">
        <v>222.0</v>
      </c>
      <c r="J208" s="136">
        <v>0.0</v>
      </c>
      <c r="K208" s="136">
        <v>0.0</v>
      </c>
      <c r="L208" s="136">
        <v>803.0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733.0</v>
      </c>
      <c r="F211" s="136">
        <v>-2.0</v>
      </c>
      <c r="G211" s="136">
        <v>0.0</v>
      </c>
      <c r="H211" s="136">
        <v>225.0</v>
      </c>
      <c r="I211" s="136">
        <v>508.0</v>
      </c>
      <c r="J211" s="136">
        <v>0.0</v>
      </c>
      <c r="K211" s="136">
        <v>0.0</v>
      </c>
      <c r="L211" s="136">
        <v>0.0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275.25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0.0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46006.0</v>
      </c>
    </row>
    <row r="217" ht="18.0" customHeight="1">
      <c r="A217" s="134" t="s">
        <v>84</v>
      </c>
      <c r="B217" s="134" t="s">
        <v>38</v>
      </c>
      <c r="C217" s="134" t="s">
        <v>178</v>
      </c>
      <c r="D217" s="135">
        <v>825.0</v>
      </c>
      <c r="E217" s="136">
        <v>1250.0</v>
      </c>
      <c r="F217" s="136">
        <v>6067.25</v>
      </c>
      <c r="G217" s="136">
        <v>0.0</v>
      </c>
      <c r="H217" s="136">
        <v>225.0</v>
      </c>
      <c r="I217" s="136">
        <v>1025.0</v>
      </c>
      <c r="J217" s="136">
        <v>0.0</v>
      </c>
      <c r="K217" s="136">
        <v>0.0</v>
      </c>
      <c r="L217" s="136">
        <v>0.0</v>
      </c>
      <c r="M217" s="136">
        <v>0.0</v>
      </c>
      <c r="N217" s="136">
        <v>0.0</v>
      </c>
      <c r="O217" s="136">
        <v>0.0</v>
      </c>
      <c r="P217" s="136">
        <v>0.0</v>
      </c>
      <c r="Q217" s="136">
        <v>0.0</v>
      </c>
      <c r="R217" s="136">
        <v>0.0</v>
      </c>
      <c r="S217" s="137">
        <v>45483.0</v>
      </c>
      <c r="T217" s="137">
        <v>46031.0</v>
      </c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0.0</v>
      </c>
      <c r="G222" s="136">
        <v>0.0</v>
      </c>
      <c r="H222" s="136">
        <v>225.0</v>
      </c>
      <c r="I222" s="136">
        <v>408.0</v>
      </c>
      <c r="J222" s="136">
        <v>0.0</v>
      </c>
      <c r="K222" s="136">
        <v>0.0</v>
      </c>
      <c r="L222" s="136">
        <v>667.0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46081.0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1250.0</v>
      </c>
      <c r="F225" s="136">
        <v>400.0</v>
      </c>
      <c r="G225" s="136">
        <v>0.0</v>
      </c>
      <c r="H225" s="136">
        <v>225.0</v>
      </c>
      <c r="I225" s="136">
        <v>1025.0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>
        <v>46387.0</v>
      </c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1125.0</v>
      </c>
      <c r="F226" s="136">
        <v>0.0</v>
      </c>
      <c r="G226" s="136">
        <v>0.0</v>
      </c>
      <c r="H226" s="136">
        <v>225.0</v>
      </c>
      <c r="I226" s="136">
        <v>900.0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46022.0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0.0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-20.0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46446.0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1039.5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472.0</v>
      </c>
      <c r="G233" s="136">
        <v>0.0</v>
      </c>
      <c r="H233" s="136">
        <v>225.0</v>
      </c>
      <c r="I233" s="136">
        <v>448.0</v>
      </c>
      <c r="J233" s="136">
        <v>0.0</v>
      </c>
      <c r="K233" s="136">
        <v>0.0</v>
      </c>
      <c r="L233" s="136">
        <v>577.0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343.7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47</v>
      </c>
      <c r="D236" s="135">
        <v>825.0</v>
      </c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7"/>
      <c r="T236" s="137"/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-170.0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39</v>
      </c>
      <c r="D238" s="135">
        <v>825.0</v>
      </c>
      <c r="E238" s="136">
        <v>1250.0</v>
      </c>
      <c r="F238" s="136">
        <v>935.65</v>
      </c>
      <c r="G238" s="136">
        <v>0.0</v>
      </c>
      <c r="H238" s="136">
        <v>225.0</v>
      </c>
      <c r="I238" s="136">
        <v>1025.0</v>
      </c>
      <c r="J238" s="136">
        <v>0.0</v>
      </c>
      <c r="K238" s="136">
        <v>0.0</v>
      </c>
      <c r="L238" s="136">
        <v>0.0</v>
      </c>
      <c r="M238" s="136">
        <v>0.0</v>
      </c>
      <c r="N238" s="136">
        <v>0.0</v>
      </c>
      <c r="O238" s="136">
        <v>0.0</v>
      </c>
      <c r="P238" s="136">
        <v>0.0</v>
      </c>
      <c r="Q238" s="136">
        <v>0.0</v>
      </c>
      <c r="R238" s="136">
        <v>0.0</v>
      </c>
      <c r="S238" s="137">
        <v>45139.0</v>
      </c>
      <c r="T238" s="137">
        <v>45987.0</v>
      </c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-2675.0</v>
      </c>
      <c r="G239" s="136">
        <v>0.0</v>
      </c>
      <c r="H239" s="136">
        <v>125.0</v>
      </c>
      <c r="I239" s="136">
        <v>186.0</v>
      </c>
      <c r="J239" s="136">
        <v>0.0</v>
      </c>
      <c r="K239" s="136">
        <v>0.0</v>
      </c>
      <c r="L239" s="136">
        <v>687.0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1250.0</v>
      </c>
      <c r="F240" s="136">
        <v>1959.2</v>
      </c>
      <c r="G240" s="136">
        <v>0.0</v>
      </c>
      <c r="H240" s="136">
        <v>225.0</v>
      </c>
      <c r="I240" s="136">
        <v>99.0</v>
      </c>
      <c r="J240" s="136">
        <v>0.0</v>
      </c>
      <c r="K240" s="136">
        <v>0.0</v>
      </c>
      <c r="L240" s="136">
        <v>926.0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>
        <v>46302.0</v>
      </c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0.0</v>
      </c>
      <c r="G241" s="136">
        <v>0.0</v>
      </c>
      <c r="H241" s="136">
        <v>225.0</v>
      </c>
      <c r="I241" s="136">
        <v>275.0</v>
      </c>
      <c r="J241" s="136">
        <v>0.0</v>
      </c>
      <c r="K241" s="136">
        <v>0.0</v>
      </c>
      <c r="L241" s="136">
        <v>750.0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-1.4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-950.0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>
        <v>46387.0</v>
      </c>
    </row>
    <row r="247" ht="18.0" customHeight="1">
      <c r="A247" s="138" t="s">
        <v>244</v>
      </c>
      <c r="B247" s="138"/>
      <c r="C247" s="138" t="s">
        <v>314</v>
      </c>
      <c r="D247" s="139">
        <v>40350.0</v>
      </c>
      <c r="E247" s="140">
        <v>50921.3</v>
      </c>
      <c r="F247" s="140">
        <v>8014.9</v>
      </c>
      <c r="G247" s="140">
        <v>0.0</v>
      </c>
      <c r="H247" s="140">
        <v>8870.8</v>
      </c>
      <c r="I247" s="140">
        <v>34106.5</v>
      </c>
      <c r="J247" s="140">
        <v>0.0</v>
      </c>
      <c r="K247" s="140">
        <v>0.0</v>
      </c>
      <c r="L247" s="140">
        <v>7854.0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700.0</v>
      </c>
      <c r="F249" s="136">
        <v>477.42</v>
      </c>
      <c r="G249" s="136">
        <v>0.0</v>
      </c>
      <c r="H249" s="136">
        <v>0.0</v>
      </c>
      <c r="I249" s="136">
        <v>215.0</v>
      </c>
      <c r="J249" s="136">
        <v>485.0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0.0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46081.0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0.0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0.0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46112.0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0.0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0.0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-825.0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-405.0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46477.0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-57.07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0.0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0.0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1039.04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0.0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39</v>
      </c>
      <c r="D262" s="135">
        <v>675.0</v>
      </c>
      <c r="E262" s="136">
        <v>775.0</v>
      </c>
      <c r="F262" s="136">
        <v>929.4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700.0</v>
      </c>
      <c r="F263" s="136">
        <v>270.61</v>
      </c>
      <c r="G263" s="136">
        <v>0.0</v>
      </c>
      <c r="H263" s="136">
        <v>0.0</v>
      </c>
      <c r="I263" s="136">
        <v>700.0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>
        <v>46356.0</v>
      </c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-675.0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46447.0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-36.83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-29.0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-100.0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46403.0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0.0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46418.0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575.0</v>
      </c>
      <c r="F269" s="136">
        <v>-775.0</v>
      </c>
      <c r="G269" s="136">
        <v>0.0</v>
      </c>
      <c r="H269" s="136">
        <v>0.0</v>
      </c>
      <c r="I269" s="136">
        <v>575.0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0.0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0.0</v>
      </c>
      <c r="G271" s="136">
        <v>0.0</v>
      </c>
      <c r="H271" s="136">
        <v>0.0</v>
      </c>
      <c r="I271" s="136">
        <v>56.0</v>
      </c>
      <c r="J271" s="136">
        <v>694.0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46029.0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0.0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46326.0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-582.0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258.17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0.0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750.0</v>
      </c>
      <c r="F276" s="136">
        <v>0.0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0.0</v>
      </c>
      <c r="S276" s="137">
        <v>44742.0</v>
      </c>
      <c r="T276" s="137">
        <v>46203.0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0.0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807.36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46294.0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22100.0</v>
      </c>
      <c r="F279" s="140">
        <v>297.1</v>
      </c>
      <c r="G279" s="140">
        <v>0.0</v>
      </c>
      <c r="H279" s="140">
        <v>0.0</v>
      </c>
      <c r="I279" s="140">
        <v>18819.0</v>
      </c>
      <c r="J279" s="140">
        <v>3231.0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0.0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202</v>
      </c>
      <c r="D281" s="139">
        <v>229909.0</v>
      </c>
      <c r="E281" s="140">
        <v>207119.8</v>
      </c>
      <c r="F281" s="140">
        <v>32890.63</v>
      </c>
      <c r="G281" s="140">
        <v>900.0</v>
      </c>
      <c r="H281" s="140">
        <v>9050.8</v>
      </c>
      <c r="I281" s="140">
        <v>162196.5</v>
      </c>
      <c r="J281" s="140">
        <v>4159.0</v>
      </c>
      <c r="K281" s="140">
        <v>4491.0</v>
      </c>
      <c r="L281" s="140">
        <v>14724.0</v>
      </c>
      <c r="M281" s="140">
        <v>1958.0</v>
      </c>
      <c r="N281" s="140">
        <v>9120.0</v>
      </c>
      <c r="O281" s="140">
        <v>425.0</v>
      </c>
      <c r="P281" s="140">
        <v>25.0</v>
      </c>
      <c r="Q281" s="140">
        <v>15.0</v>
      </c>
      <c r="R281" s="140">
        <v>55.5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0.9059529412</v>
      </c>
      <c r="D282" s="145">
        <f t="shared" ref="D282:D284" si="2">IFERROR(
  SUMPRODUCT((A$285:A$295=A282)*D$285:D$295*I$285:I$295) /
  SUMPRODUCT((A$285:A$295=A282)*I$285:I$295),
0)</f>
        <v>0.930879633</v>
      </c>
      <c r="E282" s="146">
        <f t="shared" ref="E282:E284" si="3">IFERROR(
  SUMPRODUCT((A$285:A$295=A282)*E$285:E$295),
0)
</f>
        <v>4220.59</v>
      </c>
      <c r="F282" s="147">
        <f t="shared" ref="F282:F284" si="4">IFERROR(
  SUMPRODUCT((A$285:A$295=A282)*F$285:F$295),
0)
</f>
        <v>7674.09</v>
      </c>
      <c r="G282" s="148">
        <f t="shared" ref="G282:G284" si="5">IFERROR(
  SUMPRODUCT((A$285:A$295=A282)*G$285:G$295),
0)
</f>
        <v>2</v>
      </c>
      <c r="H282" s="149">
        <f t="shared" ref="H282:H284" si="6">IFERROR(
  SUMPRODUCT((A$285:A$295=A282)*H$285:H$295*I$285:I$295) /
  SUMPRODUCT((A$285:A$295=A282)*I$285:I$295),
0)</f>
        <v>0.8029411765</v>
      </c>
    </row>
    <row r="283" ht="18.0" customHeight="1">
      <c r="A283" s="152" t="s">
        <v>251</v>
      </c>
      <c r="B283" s="153"/>
      <c r="C283" s="154">
        <f t="shared" si="1"/>
        <v>0.822260274</v>
      </c>
      <c r="D283" s="155">
        <f t="shared" si="2"/>
        <v>0.8278291083</v>
      </c>
      <c r="E283" s="156">
        <f t="shared" si="3"/>
        <v>7694.46</v>
      </c>
      <c r="F283" s="157">
        <f t="shared" si="4"/>
        <v>13448.21</v>
      </c>
      <c r="G283" s="158">
        <f t="shared" si="5"/>
        <v>2</v>
      </c>
      <c r="H283" s="149">
        <f t="shared" si="6"/>
        <v>0.7597972803</v>
      </c>
    </row>
    <row r="284" ht="18.0" customHeight="1">
      <c r="A284" s="160" t="s">
        <v>252</v>
      </c>
      <c r="B284" s="161"/>
      <c r="C284" s="162">
        <f t="shared" si="1"/>
        <v>0.8888888889</v>
      </c>
      <c r="D284" s="163">
        <f t="shared" si="2"/>
        <v>0.9363454284</v>
      </c>
      <c r="E284" s="164">
        <f t="shared" si="3"/>
        <v>5214.95</v>
      </c>
      <c r="F284" s="165">
        <f t="shared" si="4"/>
        <v>11768.33</v>
      </c>
      <c r="G284" s="166">
        <f t="shared" si="5"/>
        <v>1</v>
      </c>
      <c r="H284" s="149">
        <f t="shared" si="6"/>
        <v>0.6618967452</v>
      </c>
    </row>
    <row r="285" ht="18.0" customHeight="1">
      <c r="A285" s="169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"),0.75)</f>
        <v>0.75</v>
      </c>
      <c r="D285" s="172">
        <f t="array" ref="D285">SUM(MAP(E11:E14, F11:F14, LAMBDA(e,f, MAX(0, e-f)))) / SUM(E11:E14)
</f>
        <v>0.7008547009</v>
      </c>
      <c r="E285" s="173">
        <f t="array" ref="E285">SUM(MAP(E$11:E$14, F$11:F$14, LAMBDA(e,f, MIN(e, f))))
</f>
        <v>875</v>
      </c>
      <c r="F285" s="174">
        <f>F15</f>
        <v>978.75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"),1.0)</f>
        <v>1</v>
      </c>
      <c r="I285" s="175">
        <v>4.0</v>
      </c>
      <c r="J285" s="177">
        <v>46340.0</v>
      </c>
    </row>
    <row r="286" ht="18.0" customHeight="1">
      <c r="A286" s="169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1</v>
      </c>
      <c r="E286" s="173">
        <f t="array" ref="E286">SUM(MAP(E$17:E$22, F$17:F$22, LAMBDA(e,f, MIN(e, f))))
</f>
        <v>0</v>
      </c>
      <c r="F286" s="174">
        <f>F23</f>
        <v>0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"),0.75)</f>
        <v>0.75</v>
      </c>
      <c r="I286" s="175">
        <v>6.0</v>
      </c>
      <c r="J286" s="179" t="s">
        <v>255</v>
      </c>
    </row>
    <row r="287" ht="18.0" customHeight="1">
      <c r="A287" s="169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"),0.8)</f>
        <v>0.8</v>
      </c>
      <c r="D287" s="172">
        <f t="array" ref="D287">SUM(MAP(E25:E29, F25:F29, LAMBDA(e, f, MAX(0, e - f)))) / SUM(E25:E29)</f>
        <v>0.7521367521</v>
      </c>
      <c r="E287" s="173">
        <f t="array" ref="E287">SUM(MAP(E$25:E$29, F$25:F$29, LAMBDA(e,f, MIN(e, f))))
</f>
        <v>725</v>
      </c>
      <c r="F287" s="174">
        <f>F30</f>
        <v>1600</v>
      </c>
      <c r="G287" s="175">
        <f>IFERROR(__xludf.DUMMYFUNCTION("SUMPRODUCT(--(C25:C29&lt;&gt;""Vacant-Unrented""),--(C25:C29&lt;&gt;""Vacant-Rented""),--((N(W25:W29)&gt;N(X25:X29))+N(REGEXMATCH(LOWER(C25:C29),""evict""))&gt;0))"),0.0)</f>
        <v>0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"),1.0)</f>
        <v>1</v>
      </c>
      <c r="I287" s="175">
        <v>5.0</v>
      </c>
      <c r="J287" s="179" t="s">
        <v>257</v>
      </c>
    </row>
    <row r="288" ht="18.0" customHeight="1">
      <c r="A288" s="169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1.064571429</v>
      </c>
      <c r="E288" s="173">
        <f t="array" ref="E288">SUM(MAP(E$32:E$33, F$32:F$33, LAMBDA(e,f, MIN(e, f))))
</f>
        <v>-90.4</v>
      </c>
      <c r="F288" s="174">
        <f>F34</f>
        <v>-90.4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  <c r="J288" s="179" t="s">
        <v>259</v>
      </c>
    </row>
    <row r="289" ht="18.0" customHeight="1">
      <c r="A289" s="169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1</v>
      </c>
      <c r="E289" s="173">
        <f t="array" ref="E289">SUM(MAP(E$36:E$37, F$36:F$37, LAMBDA(e,f, MIN(e, f))))
</f>
        <v>0</v>
      </c>
      <c r="F289" s="174">
        <f>F38</f>
        <v>0</v>
      </c>
      <c r="G289" s="175">
        <f>IFERROR(__xludf.DUMMYFUNCTION("SUMPRODUCT(--(C40:C75&lt;&gt;""Vacant-Unrented""),--(C40:C75&lt;&gt;""Vacant-Rented""),--((N(W40:W75)&gt;N(X40:X75))+N(REGEXMATCH(LOWER(C40:C75),""evict""))&gt;0))"),1.0)</f>
        <v>1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  <c r="J289" s="179" t="s">
        <v>261</v>
      </c>
    </row>
    <row r="290" ht="18.0" customHeight="1">
      <c r="A290" s="180" t="s">
        <v>250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0.8954346534</v>
      </c>
      <c r="E290" s="173">
        <f t="array" ref="E290">SUM(MAP(E$40:E$75, F$40:F$75, LAMBDA(e,f, MIN(e, f))))
</f>
        <v>2814.69</v>
      </c>
      <c r="F290" s="174">
        <f>F76</f>
        <v>4888.64</v>
      </c>
      <c r="G290" s="175">
        <f>IFERROR(__xludf.DUMMYFUNCTION("SUMPRODUCT(--(C40:C75&lt;&gt;""Vacant-Unrented""),--(C40:C75&lt;&gt;""Vacant-Rented""),--((N(W40:W75)&gt;N(X40:X75))+N(REGEXMATCH(LOWER(C40:C75),""evict""))&gt;0))"),1.0)</f>
        <v>1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"),0.6875)</f>
        <v>0.6875</v>
      </c>
      <c r="I290" s="175">
        <v>36.0</v>
      </c>
      <c r="J290" s="179" t="s">
        <v>263</v>
      </c>
    </row>
    <row r="291" ht="18.0" customHeight="1">
      <c r="A291" s="169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"),0.765)</f>
        <v>0.765</v>
      </c>
      <c r="D291" s="172">
        <f t="array" ref="D291">SUM(MAP(E79:E129, F79:F129, LAMBDA(e,f, MAX(0, e-f)))) / SUM(E79:E129)
</f>
        <v>0.798202068</v>
      </c>
      <c r="E291" s="173">
        <f t="array" ref="E291">SUM(MAP(E$78:E$128, F$78:F$128, LAMBDA(e,f, MIN(e, f))))
</f>
        <v>6045.94</v>
      </c>
      <c r="F291" s="174">
        <f>F129</f>
        <v>11792.19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"),2.0)</f>
        <v>2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"),0.8205128205128205)</f>
        <v>0.8205128205</v>
      </c>
      <c r="I291" s="175">
        <v>51.0</v>
      </c>
      <c r="J291" s="179" t="s">
        <v>265</v>
      </c>
    </row>
    <row r="292" ht="18.0" customHeight="1">
      <c r="A292" s="169" t="s">
        <v>252</v>
      </c>
      <c r="B292" s="170" t="s">
        <v>266</v>
      </c>
      <c r="C292" s="171">
        <f>IFERROR(__xludf.DUMMYFUNCTION("IF(ISNUMBER(SEARCH(""%"",C171)), VALUE(REGEXREPLACE(C171,""[^0-9.]"",""""))/100, VALUE(REGEXREPLACE(C171,""[^0-9.]"","""")))
"),0.9)</f>
        <v>0.9</v>
      </c>
      <c r="D292" s="172">
        <f t="array" ref="D292">SUM(MAP(E131:E170, F131:F170, LAMBDA(e,f, MAX(0, e-f)))) / SUM(E131:E170)
</f>
        <v>0.917862899</v>
      </c>
      <c r="E292" s="173">
        <f t="array" ref="E292">SUM(MAP(E$131:E$170, F$131:F$170, LAMBDA(e,f, MIN(e, f))))
</f>
        <v>2726.5</v>
      </c>
      <c r="F292" s="174">
        <f>F171</f>
        <v>3753.43</v>
      </c>
      <c r="G292" s="175">
        <f>IFERROR(__xludf.DUMMYFUNCTION("SUMPRODUCT(--(C131:C170&lt;&gt;""Vacant-Unrented""),--(C131:C170&lt;&gt;""Vacant-Rented""),--((N(W131:W170)&gt;N(X131:X170))+N(REGEXMATCH(LOWER(C131:C170),""evict""))&gt;0))"),0.0)</f>
        <v>0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"),0.7222222222222222)</f>
        <v>0.7222222222</v>
      </c>
      <c r="I292" s="175">
        <v>40.0</v>
      </c>
      <c r="J292" s="179" t="s">
        <v>267</v>
      </c>
    </row>
    <row r="293" ht="18.0" customHeight="1">
      <c r="A293" s="180" t="s">
        <v>251</v>
      </c>
      <c r="B293" s="170" t="s">
        <v>268</v>
      </c>
      <c r="C293" s="171">
        <f>IFERROR(__xludf.DUMMYFUNCTION("IF(ISNUMBER(SEARCH(""%"",C195)), VALUE(REGEXREPLACE(C195,""[^0-9.]"",""""))/100, VALUE(REGEXREPLACE(C195,""[^0-9.]"","""")))
"),0.955)</f>
        <v>0.955</v>
      </c>
      <c r="D293" s="172">
        <f t="array" ref="D293">SUM(MAP(E174:E195, F174:F195, LAMBDA(e,f, MAX(0, e-f)))) / SUM(E174:E195)
</f>
        <v>0.8965099746</v>
      </c>
      <c r="E293" s="173">
        <f t="array" ref="E293">SUM(MAP(E$173:E$194, F$173:F$194, LAMBDA(e,f, MIN(e, f))))
</f>
        <v>1648.52</v>
      </c>
      <c r="F293" s="174">
        <f>F195</f>
        <v>1656.02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"),0.6190476190476191)</f>
        <v>0.619047619</v>
      </c>
      <c r="I293" s="175">
        <v>22.0</v>
      </c>
      <c r="J293" s="179" t="s">
        <v>269</v>
      </c>
    </row>
    <row r="294" ht="18.0" customHeight="1">
      <c r="A294" s="169" t="s">
        <v>252</v>
      </c>
      <c r="B294" s="170" t="s">
        <v>270</v>
      </c>
      <c r="C294" s="171">
        <f>IFERROR(__xludf.DUMMYFUNCTION("IF(ISNUMBER(SEARCH(""%"",C247)), VALUE(REGEXREPLACE(C247,""[^0-9.]"",""""))/100, VALUE(REGEXREPLACE(C247,""[^0-9.]"","""")))
"),0.88)</f>
        <v>0.88</v>
      </c>
      <c r="D294" s="172">
        <f t="array" ref="D294">SUM(MAP(E197:E246, F197:F246, LAMBDA(e,f, MAX(0, e-f)))) / SUM(E197:E246)
</f>
        <v>0.9511314519</v>
      </c>
      <c r="E294" s="173">
        <f t="array" ref="E294">SUM(MAP(E$197:E$246, F$197:F$246, LAMBDA(e,f, MIN(e, f))))
</f>
        <v>2488.45</v>
      </c>
      <c r="F294" s="174">
        <f>F247</f>
        <v>8014.9</v>
      </c>
      <c r="G294" s="175">
        <f>IFERROR(__xludf.DUMMYFUNCTION("SUMPRODUCT(--(C197:C246&lt;&gt;""Vacant-Unrented""),--(C197:C246&lt;&gt;""Vacant-Rented""),--((N(W197:W246)&gt;N(X197:X246))+N(REGEXMATCH(LOWER(C197:C246),""evict""))&gt;0))"),1.0)</f>
        <v>1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"),0.6136363636363636)</f>
        <v>0.6136363636</v>
      </c>
      <c r="I294" s="175">
        <v>50.0</v>
      </c>
      <c r="J294" s="179" t="s">
        <v>271</v>
      </c>
    </row>
    <row r="295" ht="18.0" customHeight="1">
      <c r="A295" s="180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1.006529195</v>
      </c>
      <c r="E295" s="183">
        <f t="array" ref="E295">SUM(MAP(E$249:E$278, F$249:F$278, LAMBDA(e,f, MIN(e, f))))
</f>
        <v>-103.7</v>
      </c>
      <c r="F295" s="184">
        <f>F279</f>
        <v>297.1</v>
      </c>
      <c r="G295" s="185">
        <f>IFERROR(__xludf.DUMMYFUNCTION("SUMPRODUCT(--(C249:C278&lt;&gt;""Vacant-Unrented""),--(C249:C278&lt;&gt;""Vacant-Rented""),--((N(W249:W278)&gt;N(X249:X278))+N(REGEXMATCH(LOWER(C249:C278),""evict""))&gt;0))"),0.0)</f>
        <v>0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"),0.8666666666666667)</f>
        <v>0.8666666667</v>
      </c>
      <c r="I295" s="175">
        <v>30.0</v>
      </c>
      <c r="J295" s="179" t="s">
        <v>273</v>
      </c>
    </row>
    <row r="296" ht="18.0" customHeight="1">
      <c r="A296" s="186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0)"),0.8759163498098859)</f>
        <v>0.8759163498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"),0.9172942422694499)</f>
        <v>0.9172942423</v>
      </c>
      <c r="E296" s="190">
        <f t="shared" ref="E296:G296" si="7">sum(E285:E295)</f>
        <v>17130</v>
      </c>
      <c r="F296" s="190">
        <f t="shared" si="7"/>
        <v>32890.63</v>
      </c>
      <c r="G296" s="191">
        <f t="shared" si="7"/>
        <v>5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"),0.7373271889400922)</f>
        <v>0.7373271889</v>
      </c>
      <c r="I296" s="193"/>
      <c r="J296" s="194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5"/>
    <col customWidth="1" min="7" max="7" width="31.25"/>
    <col customWidth="1" min="8" max="8" width="111.13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28" t="s">
        <v>10</v>
      </c>
    </row>
    <row r="2" ht="18.0" customHeight="1">
      <c r="A2" s="130" t="s">
        <v>326</v>
      </c>
    </row>
    <row r="3" ht="18.0" customHeight="1">
      <c r="A3" s="130"/>
    </row>
    <row r="4" ht="18.0" customHeight="1">
      <c r="A4" s="131" t="s">
        <v>327</v>
      </c>
    </row>
    <row r="5" ht="18.0" customHeight="1">
      <c r="A5" s="131" t="s">
        <v>328</v>
      </c>
    </row>
    <row r="6" ht="18.0" customHeight="1">
      <c r="A6" s="131" t="s">
        <v>329</v>
      </c>
    </row>
    <row r="7" ht="18.0" customHeight="1">
      <c r="A7" s="131" t="s">
        <v>330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1048.75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0.0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47</v>
      </c>
      <c r="D14" s="135">
        <v>950.0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7"/>
      <c r="T14" s="137"/>
    </row>
    <row r="15" ht="18.0" customHeight="1">
      <c r="A15" s="138" t="s">
        <v>43</v>
      </c>
      <c r="B15" s="138"/>
      <c r="C15" s="138" t="s">
        <v>313</v>
      </c>
      <c r="D15" s="139">
        <v>3800.0</v>
      </c>
      <c r="E15" s="140">
        <v>2925.0</v>
      </c>
      <c r="F15" s="140">
        <v>1048.75</v>
      </c>
      <c r="G15" s="140">
        <v>0.0</v>
      </c>
      <c r="H15" s="140">
        <v>0.0</v>
      </c>
      <c r="I15" s="140">
        <v>2532.0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46443.0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950.0</v>
      </c>
      <c r="F22" s="136">
        <v>0.0</v>
      </c>
      <c r="G22" s="136">
        <v>0.0</v>
      </c>
      <c r="H22" s="136">
        <v>0.0</v>
      </c>
      <c r="I22" s="136">
        <v>925.0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25.0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3675.0</v>
      </c>
      <c r="F23" s="140">
        <v>0.0</v>
      </c>
      <c r="G23" s="140">
        <v>0.0</v>
      </c>
      <c r="H23" s="140">
        <v>0.0</v>
      </c>
      <c r="I23" s="140">
        <v>3065.0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50.0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47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178</v>
      </c>
      <c r="D28" s="135">
        <v>621.0</v>
      </c>
      <c r="E28" s="136">
        <v>725.0</v>
      </c>
      <c r="F28" s="136">
        <v>1670.0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46431.0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1670.0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750.0</v>
      </c>
      <c r="F32" s="136">
        <v>-57.65</v>
      </c>
      <c r="G32" s="136">
        <v>0.0</v>
      </c>
      <c r="H32" s="136">
        <v>0.0</v>
      </c>
      <c r="I32" s="136">
        <v>750.0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21.01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1400.0</v>
      </c>
      <c r="F34" s="140">
        <v>-36.64</v>
      </c>
      <c r="G34" s="140">
        <v>0.0</v>
      </c>
      <c r="H34" s="140">
        <v>0.0</v>
      </c>
      <c r="I34" s="140">
        <v>1400.0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-1200.0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-1200.0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-800.0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0.0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46356.0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46400.0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46023.0</v>
      </c>
      <c r="T44" s="137">
        <v>46568.0</v>
      </c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1226.25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46568.0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45954.0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0.0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46355.0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0.0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800.0</v>
      </c>
      <c r="F54" s="136">
        <v>0.0</v>
      </c>
      <c r="G54" s="136">
        <v>0.0</v>
      </c>
      <c r="H54" s="136">
        <v>0.0</v>
      </c>
      <c r="I54" s="136">
        <v>800.0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46387.0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0.0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46081.0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750.0</v>
      </c>
      <c r="F58" s="136">
        <v>0.0</v>
      </c>
      <c r="G58" s="136">
        <v>0.0</v>
      </c>
      <c r="H58" s="136">
        <v>0.0</v>
      </c>
      <c r="I58" s="136">
        <v>750.0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46387.0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0.0</v>
      </c>
      <c r="F60" s="136">
        <v>402.88</v>
      </c>
      <c r="G60" s="136">
        <v>0.0</v>
      </c>
      <c r="H60" s="136">
        <v>0.0</v>
      </c>
      <c r="I60" s="136">
        <v>0.0</v>
      </c>
      <c r="J60" s="136">
        <v>0.0</v>
      </c>
      <c r="K60" s="136">
        <v>0.0</v>
      </c>
      <c r="L60" s="136">
        <v>0.0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99.5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-950.0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178</v>
      </c>
      <c r="D65" s="135">
        <v>700.0</v>
      </c>
      <c r="E65" s="136">
        <v>825.0</v>
      </c>
      <c r="F65" s="136">
        <v>2277.5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46442.0</v>
      </c>
    </row>
    <row r="68" ht="18.0" customHeight="1">
      <c r="A68" s="134" t="s">
        <v>91</v>
      </c>
      <c r="B68" s="134" t="s">
        <v>38</v>
      </c>
      <c r="C68" s="134" t="s">
        <v>39</v>
      </c>
      <c r="D68" s="135">
        <v>950.0</v>
      </c>
      <c r="E68" s="136">
        <v>800.0</v>
      </c>
      <c r="F68" s="136">
        <v>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942.32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750.0</v>
      </c>
      <c r="F70" s="136">
        <v>0.0</v>
      </c>
      <c r="G70" s="136">
        <v>0.0</v>
      </c>
      <c r="H70" s="136">
        <v>0.0</v>
      </c>
      <c r="I70" s="136">
        <v>750.0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83.0</v>
      </c>
      <c r="F72" s="136">
        <v>-59.81</v>
      </c>
      <c r="G72" s="136">
        <v>0.0</v>
      </c>
      <c r="H72" s="136">
        <v>0.0</v>
      </c>
      <c r="I72" s="136">
        <v>83.0</v>
      </c>
      <c r="J72" s="136">
        <v>0.0</v>
      </c>
      <c r="K72" s="136">
        <v>0.0</v>
      </c>
      <c r="L72" s="136">
        <v>0.0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0.0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46094.0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26918.0</v>
      </c>
      <c r="F76" s="140">
        <v>3138.64</v>
      </c>
      <c r="G76" s="140">
        <v>0.0</v>
      </c>
      <c r="H76" s="140">
        <v>0.0</v>
      </c>
      <c r="I76" s="140">
        <v>26853.0</v>
      </c>
      <c r="J76" s="140">
        <v>0.0</v>
      </c>
      <c r="K76" s="140">
        <v>0.0</v>
      </c>
      <c r="L76" s="140">
        <v>0.0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0.0</v>
      </c>
      <c r="F78" s="136">
        <v>0.0</v>
      </c>
      <c r="G78" s="136">
        <v>0.0</v>
      </c>
      <c r="H78" s="136">
        <v>0.0</v>
      </c>
      <c r="I78" s="136">
        <v>0.0</v>
      </c>
      <c r="J78" s="136">
        <v>0.0</v>
      </c>
      <c r="K78" s="136">
        <v>0.0</v>
      </c>
      <c r="L78" s="136">
        <v>0.0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39</v>
      </c>
      <c r="D79" s="135">
        <v>1400.0</v>
      </c>
      <c r="E79" s="136">
        <v>1350.0</v>
      </c>
      <c r="F79" s="136">
        <v>0.0</v>
      </c>
      <c r="G79" s="136">
        <v>0.0</v>
      </c>
      <c r="H79" s="136">
        <v>0.0</v>
      </c>
      <c r="I79" s="136">
        <v>1350.0</v>
      </c>
      <c r="J79" s="136">
        <v>0.0</v>
      </c>
      <c r="K79" s="136">
        <v>0.0</v>
      </c>
      <c r="L79" s="136">
        <v>0.0</v>
      </c>
      <c r="M79" s="136">
        <v>0.0</v>
      </c>
      <c r="N79" s="136">
        <v>0.0</v>
      </c>
      <c r="O79" s="136">
        <v>0.0</v>
      </c>
      <c r="P79" s="136">
        <v>0.0</v>
      </c>
      <c r="Q79" s="136">
        <v>0.0</v>
      </c>
      <c r="R79" s="136">
        <v>0.0</v>
      </c>
      <c r="S79" s="137">
        <v>46004.0</v>
      </c>
      <c r="T79" s="137">
        <v>46356.0</v>
      </c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39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46173.0</v>
      </c>
    </row>
    <row r="82" ht="18.0" customHeight="1">
      <c r="A82" s="134" t="s">
        <v>108</v>
      </c>
      <c r="B82" s="134" t="s">
        <v>104</v>
      </c>
      <c r="C82" s="134" t="s">
        <v>47</v>
      </c>
      <c r="D82" s="135">
        <v>1400.0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7"/>
      <c r="T82" s="137"/>
    </row>
    <row r="83" ht="18.0" customHeight="1">
      <c r="A83" s="134" t="s">
        <v>109</v>
      </c>
      <c r="B83" s="134" t="s">
        <v>38</v>
      </c>
      <c r="C83" s="134" t="s">
        <v>39</v>
      </c>
      <c r="D83" s="135">
        <v>1400.0</v>
      </c>
      <c r="E83" s="136">
        <v>1099.0</v>
      </c>
      <c r="F83" s="136">
        <v>0.0</v>
      </c>
      <c r="G83" s="136">
        <v>0.0</v>
      </c>
      <c r="H83" s="136">
        <v>0.0</v>
      </c>
      <c r="I83" s="136">
        <v>1099.0</v>
      </c>
      <c r="J83" s="136">
        <v>0.0</v>
      </c>
      <c r="K83" s="136">
        <v>0.0</v>
      </c>
      <c r="L83" s="136">
        <v>0.0</v>
      </c>
      <c r="M83" s="136">
        <v>0.0</v>
      </c>
      <c r="N83" s="136">
        <v>0.0</v>
      </c>
      <c r="O83" s="136">
        <v>0.0</v>
      </c>
      <c r="P83" s="136">
        <v>0.0</v>
      </c>
      <c r="Q83" s="136">
        <v>0.0</v>
      </c>
      <c r="R83" s="136">
        <v>0.0</v>
      </c>
      <c r="S83" s="137">
        <v>45992.0</v>
      </c>
      <c r="T83" s="137">
        <v>46356.0</v>
      </c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-10.01</v>
      </c>
      <c r="G84" s="136">
        <v>0.0</v>
      </c>
      <c r="H84" s="136">
        <v>0.0</v>
      </c>
      <c r="I84" s="136">
        <v>65.0</v>
      </c>
      <c r="J84" s="136">
        <v>0.0</v>
      </c>
      <c r="K84" s="136">
        <v>0.0</v>
      </c>
      <c r="L84" s="136">
        <v>835.0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39</v>
      </c>
      <c r="D86" s="135">
        <v>1400.0</v>
      </c>
      <c r="E86" s="136">
        <v>1099.0</v>
      </c>
      <c r="F86" s="136">
        <v>0.0</v>
      </c>
      <c r="G86" s="136">
        <v>0.0</v>
      </c>
      <c r="H86" s="136">
        <v>0.0</v>
      </c>
      <c r="I86" s="136">
        <v>1099.0</v>
      </c>
      <c r="J86" s="136">
        <v>0.0</v>
      </c>
      <c r="K86" s="136">
        <v>0.0</v>
      </c>
      <c r="L86" s="136">
        <v>0.0</v>
      </c>
      <c r="M86" s="136">
        <v>0.0</v>
      </c>
      <c r="N86" s="136">
        <v>0.0</v>
      </c>
      <c r="O86" s="136">
        <v>0.0</v>
      </c>
      <c r="P86" s="136">
        <v>0.0</v>
      </c>
      <c r="Q86" s="136">
        <v>0.0</v>
      </c>
      <c r="R86" s="136">
        <v>0.0</v>
      </c>
      <c r="S86" s="137">
        <v>46002.0</v>
      </c>
      <c r="T86" s="137">
        <v>46356.0</v>
      </c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100.0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1291.2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47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107</v>
      </c>
      <c r="D93" s="135">
        <v>1400.0</v>
      </c>
      <c r="E93" s="136">
        <v>1150.0</v>
      </c>
      <c r="F93" s="136">
        <v>35.0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41.0</v>
      </c>
      <c r="G95" s="136">
        <v>0.0</v>
      </c>
      <c r="H95" s="136">
        <v>0.0</v>
      </c>
      <c r="I95" s="136">
        <v>371.0</v>
      </c>
      <c r="J95" s="136">
        <v>0.0</v>
      </c>
      <c r="K95" s="136">
        <v>0.0</v>
      </c>
      <c r="L95" s="136">
        <v>529.0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104</v>
      </c>
      <c r="C96" s="134" t="s">
        <v>39</v>
      </c>
      <c r="D96" s="135">
        <v>1400.0</v>
      </c>
      <c r="E96" s="136">
        <v>1365.0</v>
      </c>
      <c r="F96" s="136">
        <v>-1.0</v>
      </c>
      <c r="G96" s="136">
        <v>0.0</v>
      </c>
      <c r="H96" s="136">
        <v>0.0</v>
      </c>
      <c r="I96" s="136">
        <v>1350.0</v>
      </c>
      <c r="J96" s="136">
        <v>0.0</v>
      </c>
      <c r="K96" s="136">
        <v>0.0</v>
      </c>
      <c r="L96" s="136">
        <v>0.0</v>
      </c>
      <c r="M96" s="136">
        <v>0.0</v>
      </c>
      <c r="N96" s="136">
        <v>0.0</v>
      </c>
      <c r="O96" s="136">
        <v>0.0</v>
      </c>
      <c r="P96" s="136">
        <v>0.0</v>
      </c>
      <c r="Q96" s="136">
        <v>0.0</v>
      </c>
      <c r="R96" s="136">
        <v>15.0</v>
      </c>
      <c r="S96" s="137">
        <v>46006.0</v>
      </c>
      <c r="T96" s="137">
        <v>46356.0</v>
      </c>
    </row>
    <row r="97" ht="18.0" customHeight="1">
      <c r="A97" s="134" t="s">
        <v>124</v>
      </c>
      <c r="B97" s="134" t="s">
        <v>115</v>
      </c>
      <c r="C97" s="134" t="s">
        <v>178</v>
      </c>
      <c r="D97" s="135">
        <v>1400.0</v>
      </c>
      <c r="E97" s="136">
        <v>1300.0</v>
      </c>
      <c r="F97" s="136">
        <v>4150.0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-720.0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67.5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>
        <v>46356.0</v>
      </c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0.0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297</v>
      </c>
      <c r="D108" s="135">
        <v>1400.0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7"/>
      <c r="T108" s="137"/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47</v>
      </c>
      <c r="D113" s="135">
        <v>1400.0</v>
      </c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7"/>
      <c r="T113" s="137"/>
    </row>
    <row r="114" ht="18.0" customHeight="1">
      <c r="A114" s="134" t="s">
        <v>141</v>
      </c>
      <c r="B114" s="134" t="s">
        <v>38</v>
      </c>
      <c r="C114" s="134" t="s">
        <v>178</v>
      </c>
      <c r="D114" s="135">
        <v>1400.0</v>
      </c>
      <c r="E114" s="136">
        <v>900.0</v>
      </c>
      <c r="F114" s="136">
        <v>3600.0</v>
      </c>
      <c r="G114" s="136">
        <v>0.0</v>
      </c>
      <c r="H114" s="136">
        <v>0.0</v>
      </c>
      <c r="I114" s="136">
        <v>0.0</v>
      </c>
      <c r="J114" s="136">
        <v>0.0</v>
      </c>
      <c r="K114" s="136">
        <v>0.0</v>
      </c>
      <c r="L114" s="136">
        <v>900.0</v>
      </c>
      <c r="M114" s="136">
        <v>0.0</v>
      </c>
      <c r="N114" s="136">
        <v>0.0</v>
      </c>
      <c r="O114" s="136">
        <v>0.0</v>
      </c>
      <c r="P114" s="136">
        <v>0.0</v>
      </c>
      <c r="Q114" s="136">
        <v>0.0</v>
      </c>
      <c r="R114" s="136">
        <v>0.0</v>
      </c>
      <c r="S114" s="137">
        <v>45231.0</v>
      </c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0.0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45992.0</v>
      </c>
      <c r="T115" s="137">
        <v>46356.0</v>
      </c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-83.0</v>
      </c>
      <c r="G116" s="136">
        <v>0.0</v>
      </c>
      <c r="H116" s="136">
        <v>0.0</v>
      </c>
      <c r="I116" s="136">
        <v>125.0</v>
      </c>
      <c r="J116" s="136">
        <v>0.0</v>
      </c>
      <c r="K116" s="136">
        <v>0.0</v>
      </c>
      <c r="L116" s="136">
        <v>850.0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45992.0</v>
      </c>
      <c r="T116" s="137">
        <v>46356.0</v>
      </c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0.0</v>
      </c>
      <c r="G118" s="136">
        <v>0.0</v>
      </c>
      <c r="H118" s="136">
        <v>0.0</v>
      </c>
      <c r="I118" s="136">
        <v>334.0</v>
      </c>
      <c r="J118" s="136">
        <v>0.0</v>
      </c>
      <c r="K118" s="136">
        <v>0.0</v>
      </c>
      <c r="L118" s="136">
        <v>1016.0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-5.0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665.75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1400.0</v>
      </c>
      <c r="F125" s="136">
        <v>-148.0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50.0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67.5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107</v>
      </c>
      <c r="D128" s="135">
        <v>1400.0</v>
      </c>
      <c r="E128" s="136">
        <v>1000.0</v>
      </c>
      <c r="F128" s="136">
        <v>950.0</v>
      </c>
      <c r="G128" s="136">
        <v>0.0</v>
      </c>
      <c r="H128" s="136">
        <v>0.0</v>
      </c>
      <c r="I128" s="136">
        <v>1000.0</v>
      </c>
      <c r="J128" s="136">
        <v>0.0</v>
      </c>
      <c r="K128" s="136">
        <v>0.0</v>
      </c>
      <c r="L128" s="136">
        <v>0.0</v>
      </c>
      <c r="M128" s="136">
        <v>0.0</v>
      </c>
      <c r="N128" s="136">
        <v>0.0</v>
      </c>
      <c r="O128" s="136">
        <v>0.0</v>
      </c>
      <c r="P128" s="136">
        <v>0.0</v>
      </c>
      <c r="Q128" s="136">
        <v>0.0</v>
      </c>
      <c r="R128" s="136">
        <v>0.0</v>
      </c>
      <c r="S128" s="137">
        <v>44927.0</v>
      </c>
      <c r="T128" s="137"/>
    </row>
    <row r="129" ht="18.0" customHeight="1">
      <c r="A129" s="138" t="s">
        <v>156</v>
      </c>
      <c r="B129" s="138"/>
      <c r="C129" s="138" t="s">
        <v>157</v>
      </c>
      <c r="D129" s="139">
        <v>71400.0</v>
      </c>
      <c r="E129" s="140">
        <v>44198.0</v>
      </c>
      <c r="F129" s="140">
        <v>10000.94</v>
      </c>
      <c r="G129" s="140">
        <v>0.0</v>
      </c>
      <c r="H129" s="140">
        <v>0.0</v>
      </c>
      <c r="I129" s="140">
        <v>37263.0</v>
      </c>
      <c r="J129" s="140">
        <v>0.0</v>
      </c>
      <c r="K129" s="140">
        <v>0.0</v>
      </c>
      <c r="L129" s="140">
        <v>6870.0</v>
      </c>
      <c r="M129" s="140">
        <v>0.0</v>
      </c>
      <c r="N129" s="140">
        <v>0.0</v>
      </c>
      <c r="O129" s="140">
        <v>50.0</v>
      </c>
      <c r="P129" s="140">
        <v>0.0</v>
      </c>
      <c r="Q129" s="140">
        <v>0.0</v>
      </c>
      <c r="R129" s="140">
        <v>15.0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0.0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0.0</v>
      </c>
      <c r="G132" s="136">
        <v>900.0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0.0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-10.0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-100.0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0.0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297</v>
      </c>
      <c r="D138" s="135">
        <v>800.0</v>
      </c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7"/>
      <c r="T138" s="137"/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1050.0</v>
      </c>
      <c r="F139" s="136">
        <v>160.0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1000.0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>
        <v>46203.0</v>
      </c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0.0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1225.0</v>
      </c>
      <c r="F141" s="136">
        <v>0.0</v>
      </c>
      <c r="G141" s="136">
        <v>0.0</v>
      </c>
      <c r="H141" s="136">
        <v>50.0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-100.0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1230.0</v>
      </c>
      <c r="F143" s="136">
        <v>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1150.0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>
        <v>46387.0</v>
      </c>
    </row>
    <row r="144" ht="18.0" customHeight="1">
      <c r="A144" s="134" t="s">
        <v>173</v>
      </c>
      <c r="B144" s="134" t="s">
        <v>168</v>
      </c>
      <c r="C144" s="134" t="s">
        <v>39</v>
      </c>
      <c r="D144" s="135">
        <v>1000.0</v>
      </c>
      <c r="E144" s="136">
        <v>1125.0</v>
      </c>
      <c r="F144" s="136">
        <v>0.0</v>
      </c>
      <c r="G144" s="136">
        <v>0.0</v>
      </c>
      <c r="H144" s="136">
        <v>0.0</v>
      </c>
      <c r="I144" s="136">
        <v>1125.0</v>
      </c>
      <c r="J144" s="136">
        <v>0.0</v>
      </c>
      <c r="K144" s="136">
        <v>0.0</v>
      </c>
      <c r="L144" s="136">
        <v>0.0</v>
      </c>
      <c r="M144" s="136">
        <v>0.0</v>
      </c>
      <c r="N144" s="136">
        <v>0.0</v>
      </c>
      <c r="O144" s="136">
        <v>0.0</v>
      </c>
      <c r="P144" s="136">
        <v>0.0</v>
      </c>
      <c r="Q144" s="136">
        <v>0.0</v>
      </c>
      <c r="R144" s="136">
        <v>0.0</v>
      </c>
      <c r="S144" s="137">
        <v>45996.0</v>
      </c>
      <c r="T144" s="137">
        <v>46356.0</v>
      </c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421.0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46568.0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0.0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0.0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0.0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0.0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>
        <v>46356.0</v>
      </c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1000.0</v>
      </c>
      <c r="F153" s="136">
        <v>-466.0</v>
      </c>
      <c r="G153" s="136">
        <v>0.0</v>
      </c>
      <c r="H153" s="136">
        <v>0.0</v>
      </c>
      <c r="I153" s="136">
        <v>255.0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>
        <v>46387.0</v>
      </c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1723.43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0.0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>
        <v>46418.0</v>
      </c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0.0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>
        <v>46326.0</v>
      </c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0.0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47</v>
      </c>
      <c r="D159" s="135">
        <v>850.0</v>
      </c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7"/>
      <c r="T159" s="137"/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0.0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>
        <v>46326.0</v>
      </c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-15.0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>
        <v>46387.0</v>
      </c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357.0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5.0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0.0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0.0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39</v>
      </c>
      <c r="D166" s="135">
        <v>850.0</v>
      </c>
      <c r="E166" s="136">
        <v>1000.0</v>
      </c>
      <c r="F166" s="136">
        <v>1200.0</v>
      </c>
      <c r="G166" s="136">
        <v>0.0</v>
      </c>
      <c r="H166" s="136">
        <v>0.0</v>
      </c>
      <c r="I166" s="136">
        <v>1000.0</v>
      </c>
      <c r="J166" s="136">
        <v>0.0</v>
      </c>
      <c r="K166" s="136">
        <v>0.0</v>
      </c>
      <c r="L166" s="136">
        <v>0.0</v>
      </c>
      <c r="M166" s="136">
        <v>0.0</v>
      </c>
      <c r="N166" s="136">
        <v>0.0</v>
      </c>
      <c r="O166" s="136">
        <v>0.0</v>
      </c>
      <c r="P166" s="136">
        <v>0.0</v>
      </c>
      <c r="Q166" s="136">
        <v>0.0</v>
      </c>
      <c r="R166" s="136">
        <v>0.0</v>
      </c>
      <c r="S166" s="137">
        <v>45786.0</v>
      </c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46387.0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843.0</v>
      </c>
      <c r="F168" s="136">
        <v>406.0</v>
      </c>
      <c r="G168" s="136">
        <v>0.0</v>
      </c>
      <c r="H168" s="136">
        <v>0.0</v>
      </c>
      <c r="I168" s="136">
        <v>406.0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437.0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46387.0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900.0</v>
      </c>
      <c r="F169" s="136">
        <v>0.0</v>
      </c>
      <c r="G169" s="136">
        <v>0.0</v>
      </c>
      <c r="H169" s="136">
        <v>0.0</v>
      </c>
      <c r="I169" s="136">
        <v>900.0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>
        <v>46387.0</v>
      </c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280</v>
      </c>
      <c r="D171" s="139">
        <v>34800.0</v>
      </c>
      <c r="E171" s="140">
        <v>33194.5</v>
      </c>
      <c r="F171" s="140">
        <v>3581.43</v>
      </c>
      <c r="G171" s="140">
        <v>900.0</v>
      </c>
      <c r="H171" s="140">
        <v>180.0</v>
      </c>
      <c r="I171" s="140">
        <v>16410.0</v>
      </c>
      <c r="J171" s="140">
        <v>0.0</v>
      </c>
      <c r="K171" s="140">
        <v>4491.0</v>
      </c>
      <c r="L171" s="140">
        <v>0.0</v>
      </c>
      <c r="M171" s="140">
        <v>1958.0</v>
      </c>
      <c r="N171" s="140">
        <v>9120.0</v>
      </c>
      <c r="O171" s="140">
        <v>125.0</v>
      </c>
      <c r="P171" s="140">
        <v>0.0</v>
      </c>
      <c r="Q171" s="140">
        <v>0.0</v>
      </c>
      <c r="R171" s="140">
        <v>10.5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-900.0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407.5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250.0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0.0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795.0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-675.0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602.0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238.0</v>
      </c>
      <c r="F190" s="136">
        <v>-203.48</v>
      </c>
      <c r="G190" s="136">
        <v>0.0</v>
      </c>
      <c r="H190" s="136">
        <v>0.0</v>
      </c>
      <c r="I190" s="136">
        <v>238.0</v>
      </c>
      <c r="J190" s="136">
        <v>0.0</v>
      </c>
      <c r="K190" s="136">
        <v>0.0</v>
      </c>
      <c r="L190" s="136">
        <v>0.0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297</v>
      </c>
      <c r="D192" s="135">
        <v>825.0</v>
      </c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7"/>
      <c r="T192" s="137"/>
    </row>
    <row r="193" ht="18.0" customHeight="1">
      <c r="A193" s="134" t="s">
        <v>224</v>
      </c>
      <c r="B193" s="134" t="s">
        <v>56</v>
      </c>
      <c r="C193" s="134" t="s">
        <v>39</v>
      </c>
      <c r="D193" s="135">
        <v>750.0</v>
      </c>
      <c r="E193" s="136">
        <v>840.0</v>
      </c>
      <c r="F193" s="136">
        <v>0.0</v>
      </c>
      <c r="G193" s="136">
        <v>0.0</v>
      </c>
      <c r="H193" s="136">
        <v>0.0</v>
      </c>
      <c r="I193" s="136">
        <v>800.0</v>
      </c>
      <c r="J193" s="136">
        <v>0.0</v>
      </c>
      <c r="K193" s="136">
        <v>0.0</v>
      </c>
      <c r="L193" s="136">
        <v>0.0</v>
      </c>
      <c r="M193" s="136">
        <v>0.0</v>
      </c>
      <c r="N193" s="136">
        <v>0.0</v>
      </c>
      <c r="O193" s="136">
        <v>25.0</v>
      </c>
      <c r="P193" s="136">
        <v>0.0</v>
      </c>
      <c r="Q193" s="136">
        <v>0.0</v>
      </c>
      <c r="R193" s="136">
        <v>15.0</v>
      </c>
      <c r="S193" s="137">
        <v>45987.0</v>
      </c>
      <c r="T193" s="137">
        <v>46326.0</v>
      </c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750.0</v>
      </c>
      <c r="F194" s="136">
        <v>-775.0</v>
      </c>
      <c r="G194" s="136">
        <v>0.0</v>
      </c>
      <c r="H194" s="136">
        <v>0.0</v>
      </c>
      <c r="I194" s="136">
        <v>750.0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>
        <v>46568.0</v>
      </c>
    </row>
    <row r="195" ht="18.0" customHeight="1">
      <c r="A195" s="138" t="s">
        <v>226</v>
      </c>
      <c r="B195" s="138"/>
      <c r="C195" s="138" t="s">
        <v>306</v>
      </c>
      <c r="D195" s="139">
        <v>17550.0</v>
      </c>
      <c r="E195" s="140">
        <v>16463.0</v>
      </c>
      <c r="F195" s="140">
        <v>-498.98</v>
      </c>
      <c r="G195" s="140">
        <v>0.0</v>
      </c>
      <c r="H195" s="140">
        <v>0.0</v>
      </c>
      <c r="I195" s="140">
        <v>16423.0</v>
      </c>
      <c r="J195" s="140">
        <v>0.0</v>
      </c>
      <c r="K195" s="140">
        <v>0.0</v>
      </c>
      <c r="L195" s="140">
        <v>0.0</v>
      </c>
      <c r="M195" s="140">
        <v>0.0</v>
      </c>
      <c r="N195" s="140">
        <v>0.0</v>
      </c>
      <c r="O195" s="140">
        <v>25.0</v>
      </c>
      <c r="P195" s="140">
        <v>0.0</v>
      </c>
      <c r="Q195" s="140">
        <v>0.0</v>
      </c>
      <c r="R195" s="140">
        <v>15.0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221.0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-1075.0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13.0</v>
      </c>
      <c r="G199" s="136">
        <v>0.0</v>
      </c>
      <c r="H199" s="136">
        <v>225.0</v>
      </c>
      <c r="I199" s="136">
        <v>122.0</v>
      </c>
      <c r="J199" s="136">
        <v>0.0</v>
      </c>
      <c r="K199" s="136">
        <v>0.0</v>
      </c>
      <c r="L199" s="136">
        <v>903.0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1175.0</v>
      </c>
      <c r="F200" s="136">
        <v>0.0</v>
      </c>
      <c r="G200" s="136">
        <v>0.0</v>
      </c>
      <c r="H200" s="136">
        <v>225.0</v>
      </c>
      <c r="I200" s="136">
        <v>950.0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-924.0</v>
      </c>
      <c r="G202" s="136">
        <v>0.0</v>
      </c>
      <c r="H202" s="136">
        <v>225.0</v>
      </c>
      <c r="I202" s="136">
        <v>144.0</v>
      </c>
      <c r="J202" s="136">
        <v>0.0</v>
      </c>
      <c r="K202" s="136">
        <v>0.0</v>
      </c>
      <c r="L202" s="136">
        <v>881.0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-1250.0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957.51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424.0</v>
      </c>
      <c r="F207" s="136">
        <v>-19.26</v>
      </c>
      <c r="G207" s="136">
        <v>0.0</v>
      </c>
      <c r="H207" s="136">
        <v>225.0</v>
      </c>
      <c r="I207" s="136">
        <v>199.0</v>
      </c>
      <c r="J207" s="136">
        <v>0.0</v>
      </c>
      <c r="K207" s="136">
        <v>0.0</v>
      </c>
      <c r="L207" s="136">
        <v>0.0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-91.25</v>
      </c>
      <c r="G208" s="136">
        <v>0.0</v>
      </c>
      <c r="H208" s="136">
        <v>225.0</v>
      </c>
      <c r="I208" s="136">
        <v>222.0</v>
      </c>
      <c r="J208" s="136">
        <v>0.0</v>
      </c>
      <c r="K208" s="136">
        <v>0.0</v>
      </c>
      <c r="L208" s="136">
        <v>803.0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733.0</v>
      </c>
      <c r="F211" s="136">
        <v>-2.0</v>
      </c>
      <c r="G211" s="136">
        <v>0.0</v>
      </c>
      <c r="H211" s="136">
        <v>225.0</v>
      </c>
      <c r="I211" s="136">
        <v>508.0</v>
      </c>
      <c r="J211" s="136">
        <v>0.0</v>
      </c>
      <c r="K211" s="136">
        <v>0.0</v>
      </c>
      <c r="L211" s="136">
        <v>0.0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-1250.0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275.25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0.0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46006.0</v>
      </c>
    </row>
    <row r="217" ht="18.0" customHeight="1">
      <c r="A217" s="134" t="s">
        <v>84</v>
      </c>
      <c r="B217" s="134" t="s">
        <v>38</v>
      </c>
      <c r="C217" s="134" t="s">
        <v>178</v>
      </c>
      <c r="D217" s="135">
        <v>825.0</v>
      </c>
      <c r="E217" s="136">
        <v>1250.0</v>
      </c>
      <c r="F217" s="136">
        <v>6067.25</v>
      </c>
      <c r="G217" s="136">
        <v>0.0</v>
      </c>
      <c r="H217" s="136">
        <v>225.0</v>
      </c>
      <c r="I217" s="136">
        <v>1025.0</v>
      </c>
      <c r="J217" s="136">
        <v>0.0</v>
      </c>
      <c r="K217" s="136">
        <v>0.0</v>
      </c>
      <c r="L217" s="136">
        <v>0.0</v>
      </c>
      <c r="M217" s="136">
        <v>0.0</v>
      </c>
      <c r="N217" s="136">
        <v>0.0</v>
      </c>
      <c r="O217" s="136">
        <v>0.0</v>
      </c>
      <c r="P217" s="136">
        <v>0.0</v>
      </c>
      <c r="Q217" s="136">
        <v>0.0</v>
      </c>
      <c r="R217" s="136">
        <v>0.0</v>
      </c>
      <c r="S217" s="137">
        <v>45483.0</v>
      </c>
      <c r="T217" s="137">
        <v>46031.0</v>
      </c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0.0</v>
      </c>
      <c r="G222" s="136">
        <v>0.0</v>
      </c>
      <c r="H222" s="136">
        <v>225.0</v>
      </c>
      <c r="I222" s="136">
        <v>408.0</v>
      </c>
      <c r="J222" s="136">
        <v>0.0</v>
      </c>
      <c r="K222" s="136">
        <v>0.0</v>
      </c>
      <c r="L222" s="136">
        <v>667.0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46081.0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1250.0</v>
      </c>
      <c r="F225" s="136">
        <v>400.0</v>
      </c>
      <c r="G225" s="136">
        <v>0.0</v>
      </c>
      <c r="H225" s="136">
        <v>225.0</v>
      </c>
      <c r="I225" s="136">
        <v>1025.0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>
        <v>46387.0</v>
      </c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1125.0</v>
      </c>
      <c r="F226" s="136">
        <v>0.0</v>
      </c>
      <c r="G226" s="136">
        <v>0.0</v>
      </c>
      <c r="H226" s="136">
        <v>225.0</v>
      </c>
      <c r="I226" s="136">
        <v>900.0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46022.0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0.0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-20.0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46446.0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1039.5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472.0</v>
      </c>
      <c r="G233" s="136">
        <v>0.0</v>
      </c>
      <c r="H233" s="136">
        <v>225.0</v>
      </c>
      <c r="I233" s="136">
        <v>448.0</v>
      </c>
      <c r="J233" s="136">
        <v>0.0</v>
      </c>
      <c r="K233" s="136">
        <v>0.0</v>
      </c>
      <c r="L233" s="136">
        <v>577.0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343.7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47</v>
      </c>
      <c r="D236" s="135">
        <v>825.0</v>
      </c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7"/>
      <c r="T236" s="137"/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-170.0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39</v>
      </c>
      <c r="D238" s="135">
        <v>825.0</v>
      </c>
      <c r="E238" s="136">
        <v>1250.0</v>
      </c>
      <c r="F238" s="136">
        <v>935.65</v>
      </c>
      <c r="G238" s="136">
        <v>0.0</v>
      </c>
      <c r="H238" s="136">
        <v>225.0</v>
      </c>
      <c r="I238" s="136">
        <v>1025.0</v>
      </c>
      <c r="J238" s="136">
        <v>0.0</v>
      </c>
      <c r="K238" s="136">
        <v>0.0</v>
      </c>
      <c r="L238" s="136">
        <v>0.0</v>
      </c>
      <c r="M238" s="136">
        <v>0.0</v>
      </c>
      <c r="N238" s="136">
        <v>0.0</v>
      </c>
      <c r="O238" s="136">
        <v>0.0</v>
      </c>
      <c r="P238" s="136">
        <v>0.0</v>
      </c>
      <c r="Q238" s="136">
        <v>0.0</v>
      </c>
      <c r="R238" s="136">
        <v>0.0</v>
      </c>
      <c r="S238" s="137">
        <v>45139.0</v>
      </c>
      <c r="T238" s="137">
        <v>45987.0</v>
      </c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-2675.0</v>
      </c>
      <c r="G239" s="136">
        <v>0.0</v>
      </c>
      <c r="H239" s="136">
        <v>125.0</v>
      </c>
      <c r="I239" s="136">
        <v>186.0</v>
      </c>
      <c r="J239" s="136">
        <v>0.0</v>
      </c>
      <c r="K239" s="136">
        <v>0.0</v>
      </c>
      <c r="L239" s="136">
        <v>687.0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1250.0</v>
      </c>
      <c r="F240" s="136">
        <v>1959.2</v>
      </c>
      <c r="G240" s="136">
        <v>0.0</v>
      </c>
      <c r="H240" s="136">
        <v>225.0</v>
      </c>
      <c r="I240" s="136">
        <v>99.0</v>
      </c>
      <c r="J240" s="136">
        <v>0.0</v>
      </c>
      <c r="K240" s="136">
        <v>0.0</v>
      </c>
      <c r="L240" s="136">
        <v>926.0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>
        <v>46302.0</v>
      </c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0.0</v>
      </c>
      <c r="G241" s="136">
        <v>0.0</v>
      </c>
      <c r="H241" s="136">
        <v>225.0</v>
      </c>
      <c r="I241" s="136">
        <v>275.0</v>
      </c>
      <c r="J241" s="136">
        <v>0.0</v>
      </c>
      <c r="K241" s="136">
        <v>0.0</v>
      </c>
      <c r="L241" s="136">
        <v>750.0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-1.4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-950.0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>
        <v>46387.0</v>
      </c>
    </row>
    <row r="247" ht="18.0" customHeight="1">
      <c r="A247" s="138" t="s">
        <v>244</v>
      </c>
      <c r="B247" s="138"/>
      <c r="C247" s="138" t="s">
        <v>314</v>
      </c>
      <c r="D247" s="139">
        <v>40350.0</v>
      </c>
      <c r="E247" s="140">
        <v>50921.3</v>
      </c>
      <c r="F247" s="140">
        <v>4101.15</v>
      </c>
      <c r="G247" s="140">
        <v>0.0</v>
      </c>
      <c r="H247" s="140">
        <v>8870.8</v>
      </c>
      <c r="I247" s="140">
        <v>34106.5</v>
      </c>
      <c r="J247" s="140">
        <v>0.0</v>
      </c>
      <c r="K247" s="140">
        <v>0.0</v>
      </c>
      <c r="L247" s="140">
        <v>7854.0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700.0</v>
      </c>
      <c r="F249" s="136">
        <v>547.42</v>
      </c>
      <c r="G249" s="136">
        <v>0.0</v>
      </c>
      <c r="H249" s="136">
        <v>0.0</v>
      </c>
      <c r="I249" s="136">
        <v>215.0</v>
      </c>
      <c r="J249" s="136">
        <v>485.0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28.99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46081.0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28.99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28.99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46112.0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-721.01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28.99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-796.01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-376.01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46477.0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-28.08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28.99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-271.01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-81.97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28.99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178</v>
      </c>
      <c r="D262" s="135">
        <v>675.0</v>
      </c>
      <c r="E262" s="136">
        <v>775.0</v>
      </c>
      <c r="F262" s="136">
        <v>1028.39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700.0</v>
      </c>
      <c r="F263" s="136">
        <v>369.6</v>
      </c>
      <c r="G263" s="136">
        <v>0.0</v>
      </c>
      <c r="H263" s="136">
        <v>0.0</v>
      </c>
      <c r="I263" s="136">
        <v>700.0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>
        <v>46356.0</v>
      </c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-646.01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46447.0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-7.84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-0.01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-71.01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46403.0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0.0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46418.0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575.0</v>
      </c>
      <c r="F269" s="136">
        <v>-746.01</v>
      </c>
      <c r="G269" s="136">
        <v>0.0</v>
      </c>
      <c r="H269" s="136">
        <v>0.0</v>
      </c>
      <c r="I269" s="136">
        <v>575.0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-28.99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0.0</v>
      </c>
      <c r="G271" s="136">
        <v>0.0</v>
      </c>
      <c r="H271" s="136">
        <v>0.0</v>
      </c>
      <c r="I271" s="136">
        <v>56.0</v>
      </c>
      <c r="J271" s="136">
        <v>694.0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46029.0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-750.0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46326.0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-553.01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87.17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28.99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750.0</v>
      </c>
      <c r="F276" s="136">
        <v>28.99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0.0</v>
      </c>
      <c r="S276" s="137">
        <v>44742.0</v>
      </c>
      <c r="T276" s="137">
        <v>46203.0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-177.0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836.35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46294.0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22100.0</v>
      </c>
      <c r="F279" s="140">
        <v>-2153.12</v>
      </c>
      <c r="G279" s="140">
        <v>0.0</v>
      </c>
      <c r="H279" s="140">
        <v>0.0</v>
      </c>
      <c r="I279" s="140">
        <v>18819.0</v>
      </c>
      <c r="J279" s="140">
        <v>3231.0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0.0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202</v>
      </c>
      <c r="D281" s="139">
        <v>229909.0</v>
      </c>
      <c r="E281" s="140">
        <v>207119.8</v>
      </c>
      <c r="F281" s="140">
        <v>19652.17</v>
      </c>
      <c r="G281" s="140">
        <v>900.0</v>
      </c>
      <c r="H281" s="140">
        <v>9050.8</v>
      </c>
      <c r="I281" s="140">
        <v>162196.5</v>
      </c>
      <c r="J281" s="140">
        <v>4159.0</v>
      </c>
      <c r="K281" s="140">
        <v>4491.0</v>
      </c>
      <c r="L281" s="140">
        <v>14724.0</v>
      </c>
      <c r="M281" s="140">
        <v>1958.0</v>
      </c>
      <c r="N281" s="140">
        <v>9120.0</v>
      </c>
      <c r="O281" s="140">
        <v>425.0</v>
      </c>
      <c r="P281" s="140">
        <v>25.0</v>
      </c>
      <c r="Q281" s="140">
        <v>15.0</v>
      </c>
      <c r="R281" s="140">
        <v>55.5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0.9059529412</v>
      </c>
      <c r="D282" s="145">
        <f t="shared" ref="D282:D284" si="2">IFERROR(
  SUMPRODUCT((A$285:A$295=A282)*D$285:D$295*I$285:I$295) /
  SUMPRODUCT((A$285:A$295=A282)*I$285:I$295),
0)</f>
        <v>1.008905271</v>
      </c>
      <c r="E282" s="146">
        <f t="shared" ref="E282:E284" si="3">IFERROR(
  SUMPRODUCT((A$285:A$295=A282)*E$285:E$295),
0)
</f>
        <v>-1039.81</v>
      </c>
      <c r="F282" s="147">
        <f t="shared" ref="F282:F284" si="4">IFERROR(
  SUMPRODUCT((A$285:A$295=A282)*F$285:F$295),
0)
</f>
        <v>2467.63</v>
      </c>
      <c r="G282" s="148">
        <f t="shared" ref="G282:G284" si="5">IFERROR(
  SUMPRODUCT((A$285:A$295=A282)*G$285:G$295),
0)
</f>
        <v>4</v>
      </c>
      <c r="H282" s="149">
        <f t="shared" ref="H282:H284" si="6">IFERROR(
  SUMPRODUCT((A$285:A$295=A282)*H$285:H$295*I$285:I$295) /
  SUMPRODUCT((A$285:A$295=A282)*I$285:I$295),
0)</f>
        <v>0.8029411765</v>
      </c>
    </row>
    <row r="283" ht="18.0" customHeight="1">
      <c r="A283" s="152" t="s">
        <v>251</v>
      </c>
      <c r="B283" s="153"/>
      <c r="C283" s="154">
        <f t="shared" si="1"/>
        <v>0.822260274</v>
      </c>
      <c r="D283" s="155">
        <f t="shared" si="2"/>
        <v>0.8951997224</v>
      </c>
      <c r="E283" s="156">
        <f t="shared" si="3"/>
        <v>3951.96</v>
      </c>
      <c r="F283" s="157">
        <f t="shared" si="4"/>
        <v>9501.96</v>
      </c>
      <c r="G283" s="158">
        <f t="shared" si="5"/>
        <v>2</v>
      </c>
      <c r="H283" s="149">
        <f t="shared" si="6"/>
        <v>0.7920618195</v>
      </c>
    </row>
    <row r="284" ht="18.0" customHeight="1">
      <c r="A284" s="160" t="s">
        <v>252</v>
      </c>
      <c r="B284" s="161"/>
      <c r="C284" s="162">
        <f t="shared" si="1"/>
        <v>0.8888888889</v>
      </c>
      <c r="D284" s="163">
        <f t="shared" si="2"/>
        <v>0.9813476866</v>
      </c>
      <c r="E284" s="164">
        <f t="shared" si="3"/>
        <v>1129.2</v>
      </c>
      <c r="F284" s="165">
        <f t="shared" si="4"/>
        <v>7682.58</v>
      </c>
      <c r="G284" s="166">
        <f t="shared" si="5"/>
        <v>1</v>
      </c>
      <c r="H284" s="149">
        <f t="shared" si="6"/>
        <v>0.6618967452</v>
      </c>
    </row>
    <row r="285" ht="18.0" customHeight="1">
      <c r="A285" s="169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"),0.75)</f>
        <v>0.75</v>
      </c>
      <c r="D285" s="172">
        <f t="array" ref="D285">SUM(MAP(E11:E14, F11:F14, LAMBDA(e,f, MAX(0, e-f)))) / SUM(E11:E14)
</f>
        <v>0.7008547009</v>
      </c>
      <c r="E285" s="173">
        <f t="array" ref="E285">SUM(MAP(E$11:E$14, F$11:F$14, LAMBDA(e,f, MIN(e, f))))
</f>
        <v>875</v>
      </c>
      <c r="F285" s="174">
        <f>F15</f>
        <v>1048.75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"),1.0)</f>
        <v>1</v>
      </c>
      <c r="I285" s="175">
        <v>4.0</v>
      </c>
      <c r="J285" s="177">
        <v>46340.0</v>
      </c>
    </row>
    <row r="286" ht="18.0" customHeight="1">
      <c r="A286" s="169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1</v>
      </c>
      <c r="E286" s="173">
        <f t="array" ref="E286">SUM(MAP(E$17:E$22, F$17:F$22, LAMBDA(e,f, MIN(e, f))))
</f>
        <v>0</v>
      </c>
      <c r="F286" s="174">
        <f>F23</f>
        <v>0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"),0.75)</f>
        <v>0.75</v>
      </c>
      <c r="I286" s="175">
        <v>6.0</v>
      </c>
      <c r="J286" s="179" t="s">
        <v>255</v>
      </c>
    </row>
    <row r="287" ht="18.0" customHeight="1">
      <c r="A287" s="169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"),0.8)</f>
        <v>0.8</v>
      </c>
      <c r="D287" s="172">
        <f t="array" ref="D287">SUM(MAP(E25:E29, F25:F29, LAMBDA(e, f, MAX(0, e - f)))) / SUM(E25:E29)</f>
        <v>0.7521367521</v>
      </c>
      <c r="E287" s="173">
        <f t="array" ref="E287">SUM(MAP(E$25:E$29, F$25:F$29, LAMBDA(e,f, MIN(e, f))))
</f>
        <v>725</v>
      </c>
      <c r="F287" s="174">
        <f>F30</f>
        <v>1670</v>
      </c>
      <c r="G287" s="175">
        <f>IFERROR(__xludf.DUMMYFUNCTION("SUMPRODUCT(--(C25:C29&lt;&gt;""Vacant-Unrented""),--(C25:C29&lt;&gt;""Vacant-Rented""),--((N(W25:W29)&gt;N(X25:X29))+N(REGEXMATCH(LOWER(C25:C29),""evict""))&gt;0))"),1.0)</f>
        <v>1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"),0.75)</f>
        <v>0.75</v>
      </c>
      <c r="I287" s="175">
        <v>5.0</v>
      </c>
      <c r="J287" s="179" t="s">
        <v>257</v>
      </c>
    </row>
    <row r="288" ht="18.0" customHeight="1">
      <c r="A288" s="169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1.026171429</v>
      </c>
      <c r="E288" s="173">
        <f t="array" ref="E288">SUM(MAP(E$32:E$33, F$32:F$33, LAMBDA(e,f, MIN(e, f))))
</f>
        <v>-36.64</v>
      </c>
      <c r="F288" s="174">
        <f>F34</f>
        <v>-36.64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  <c r="J288" s="179" t="s">
        <v>259</v>
      </c>
    </row>
    <row r="289" ht="18.0" customHeight="1">
      <c r="A289" s="169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1.5</v>
      </c>
      <c r="E289" s="173">
        <f t="array" ref="E289">SUM(MAP(E$36:E$37, F$36:F$37, LAMBDA(e,f, MIN(e, f))))
</f>
        <v>-1200</v>
      </c>
      <c r="F289" s="174">
        <f>F38</f>
        <v>-1200</v>
      </c>
      <c r="G289" s="175">
        <f>IFERROR(__xludf.DUMMYFUNCTION("SUMPRODUCT(--(C40:C75&lt;&gt;""Vacant-Unrented""),--(C40:C75&lt;&gt;""Vacant-Rented""),--((N(W40:W75)&gt;N(X40:X75))+N(REGEXMATCH(LOWER(C40:C75),""evict""))&gt;0))"),1.0)</f>
        <v>1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  <c r="J289" s="179" t="s">
        <v>261</v>
      </c>
    </row>
    <row r="290" ht="18.0" customHeight="1">
      <c r="A290" s="180" t="s">
        <v>250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0.9604469128</v>
      </c>
      <c r="E290" s="173">
        <f t="array" ref="E290">SUM(MAP(E$40:E$75, F$40:F$75, LAMBDA(e,f, MIN(e, f))))
</f>
        <v>1064.69</v>
      </c>
      <c r="F290" s="174">
        <f>F76</f>
        <v>3138.64</v>
      </c>
      <c r="G290" s="175">
        <f>IFERROR(__xludf.DUMMYFUNCTION("SUMPRODUCT(--(C40:C75&lt;&gt;""Vacant-Unrented""),--(C40:C75&lt;&gt;""Vacant-Rented""),--((N(W40:W75)&gt;N(X40:X75))+N(REGEXMATCH(LOWER(C40:C75),""evict""))&gt;0))"),1.0)</f>
        <v>1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"),0.75)</f>
        <v>0.75</v>
      </c>
      <c r="I290" s="175">
        <v>36.0</v>
      </c>
      <c r="J290" s="179" t="s">
        <v>263</v>
      </c>
    </row>
    <row r="291" ht="18.0" customHeight="1">
      <c r="A291" s="169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"),0.765)</f>
        <v>0.765</v>
      </c>
      <c r="D291" s="172">
        <f t="array" ref="D291">SUM(MAP(E79:E129, F79:F129, LAMBDA(e,f, MAX(0, e-f)))) / SUM(E79:E129)
</f>
        <v>0.8365097968</v>
      </c>
      <c r="E291" s="173">
        <f t="array" ref="E291">SUM(MAP(E$78:E$128, F$78:F$128, LAMBDA(e,f, MIN(e, f))))
</f>
        <v>4450.94</v>
      </c>
      <c r="F291" s="174">
        <f>F129</f>
        <v>10000.94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"),2.0)</f>
        <v>2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"),0.8461538461538461)</f>
        <v>0.8461538462</v>
      </c>
      <c r="I291" s="175">
        <v>51.0</v>
      </c>
      <c r="J291" s="179" t="s">
        <v>265</v>
      </c>
    </row>
    <row r="292" ht="18.0" customHeight="1">
      <c r="A292" s="169" t="s">
        <v>252</v>
      </c>
      <c r="B292" s="170" t="s">
        <v>266</v>
      </c>
      <c r="C292" s="171">
        <f>IFERROR(__xludf.DUMMYFUNCTION("IF(ISNUMBER(SEARCH(""%"",C171)), VALUE(REGEXREPLACE(C171,""[^0-9.]"",""""))/100, VALUE(REGEXREPLACE(C171,""[^0-9.]"","""")))
"),0.9)</f>
        <v>0.9</v>
      </c>
      <c r="D292" s="172">
        <f t="array" ref="D292">SUM(MAP(E131:E170, F131:F170, LAMBDA(e,f, MAX(0, e-f)))) / SUM(E131:E170)
</f>
        <v>0.9230444803</v>
      </c>
      <c r="E292" s="173">
        <f t="array" ref="E292">SUM(MAP(E$131:E$170, F$131:F$170, LAMBDA(e,f, MIN(e, f))))
</f>
        <v>2554.5</v>
      </c>
      <c r="F292" s="174">
        <f>F171</f>
        <v>3581.43</v>
      </c>
      <c r="G292" s="175">
        <f>IFERROR(__xludf.DUMMYFUNCTION("SUMPRODUCT(--(C131:C170&lt;&gt;""Vacant-Unrented""),--(C131:C170&lt;&gt;""Vacant-Rented""),--((N(W131:W170)&gt;N(X131:X170))+N(REGEXMATCH(LOWER(C131:C170),""evict""))&gt;0))"),0.0)</f>
        <v>0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"),0.7222222222222222)</f>
        <v>0.7222222222</v>
      </c>
      <c r="I292" s="175">
        <v>40.0</v>
      </c>
      <c r="J292" s="179" t="s">
        <v>267</v>
      </c>
    </row>
    <row r="293" ht="18.0" customHeight="1">
      <c r="A293" s="180" t="s">
        <v>251</v>
      </c>
      <c r="B293" s="170" t="s">
        <v>268</v>
      </c>
      <c r="C293" s="171">
        <f>IFERROR(__xludf.DUMMYFUNCTION("IF(ISNUMBER(SEARCH(""%"",C195)), VALUE(REGEXREPLACE(C195,""[^0-9.]"",""""))/100, VALUE(REGEXREPLACE(C195,""[^0-9.]"","""")))
"),0.955)</f>
        <v>0.955</v>
      </c>
      <c r="D293" s="172">
        <f t="array" ref="D293">SUM(MAP(E174:E195, F174:F195, LAMBDA(e,f, MAX(0, e-f)))) / SUM(E174:E195)
</f>
        <v>1.031253641</v>
      </c>
      <c r="E293" s="173">
        <f t="array" ref="E293">SUM(MAP(E$173:E$194, F$173:F$194, LAMBDA(e,f, MIN(e, f))))
</f>
        <v>-498.98</v>
      </c>
      <c r="F293" s="174">
        <f>F195</f>
        <v>-498.98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"),0.6666666666666666)</f>
        <v>0.6666666667</v>
      </c>
      <c r="I293" s="175">
        <v>22.0</v>
      </c>
      <c r="J293" s="179" t="s">
        <v>269</v>
      </c>
    </row>
    <row r="294" ht="18.0" customHeight="1">
      <c r="A294" s="169" t="s">
        <v>252</v>
      </c>
      <c r="B294" s="170" t="s">
        <v>270</v>
      </c>
      <c r="C294" s="171">
        <f>IFERROR(__xludf.DUMMYFUNCTION("IF(ISNUMBER(SEARCH(""%"",C247)), VALUE(REGEXREPLACE(C247,""[^0-9.]"",""""))/100, VALUE(REGEXREPLACE(C247,""[^0-9.]"","""")))
"),0.88)</f>
        <v>0.88</v>
      </c>
      <c r="D294" s="172">
        <f t="array" ref="D294">SUM(MAP(E197:E246, F197:F246, LAMBDA(e,f, MAX(0, e-f)))) / SUM(E197:E246)
</f>
        <v>1.027990252</v>
      </c>
      <c r="E294" s="173">
        <f t="array" ref="E294">SUM(MAP(E$197:E$246, F$197:F$246, LAMBDA(e,f, MIN(e, f))))
</f>
        <v>-1425.3</v>
      </c>
      <c r="F294" s="174">
        <f>F247</f>
        <v>4101.15</v>
      </c>
      <c r="G294" s="175">
        <f>IFERROR(__xludf.DUMMYFUNCTION("SUMPRODUCT(--(C197:C246&lt;&gt;""Vacant-Unrented""),--(C197:C246&lt;&gt;""Vacant-Rented""),--((N(W197:W246)&gt;N(X197:X246))+N(REGEXMATCH(LOWER(C197:C246),""evict""))&gt;0))"),1.0)</f>
        <v>1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"),0.6136363636363636)</f>
        <v>0.6136363636</v>
      </c>
      <c r="I294" s="175">
        <v>50.0</v>
      </c>
      <c r="J294" s="179" t="s">
        <v>271</v>
      </c>
    </row>
    <row r="295" ht="18.0" customHeight="1">
      <c r="A295" s="180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1.118813793</v>
      </c>
      <c r="E295" s="183">
        <f t="array" ref="E295">SUM(MAP(E$249:E$278, F$249:F$278, LAMBDA(e,f, MIN(e, f))))
</f>
        <v>-2467.86</v>
      </c>
      <c r="F295" s="184">
        <f>F279</f>
        <v>-2153.12</v>
      </c>
      <c r="G295" s="185">
        <f>IFERROR(__xludf.DUMMYFUNCTION("SUMPRODUCT(--(C249:C278&lt;&gt;""Vacant-Unrented""),--(C249:C278&lt;&gt;""Vacant-Rented""),--((N(W249:W278)&gt;N(X249:X278))+N(REGEXMATCH(LOWER(C249:C278),""evict""))&gt;0))"),1.0)</f>
        <v>1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"),0.8333333333333334)</f>
        <v>0.8333333333</v>
      </c>
      <c r="I295" s="175">
        <v>30.0</v>
      </c>
      <c r="J295" s="179" t="s">
        <v>273</v>
      </c>
    </row>
    <row r="296" ht="18.0" customHeight="1">
      <c r="A296" s="186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0)"),0.8759163498098859)</f>
        <v>0.8759163498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"),0.9804878625800146)</f>
        <v>0.9804878626</v>
      </c>
      <c r="E296" s="190">
        <f t="shared" ref="E296:G296" si="7">sum(E285:E295)</f>
        <v>4041.35</v>
      </c>
      <c r="F296" s="190">
        <f t="shared" si="7"/>
        <v>19652.17</v>
      </c>
      <c r="G296" s="191">
        <f t="shared" si="7"/>
        <v>7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"),0.7465437788018433)</f>
        <v>0.7465437788</v>
      </c>
      <c r="I296" s="193"/>
      <c r="J296" s="194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5"/>
    <col customWidth="1" min="7" max="7" width="31.25"/>
    <col customWidth="1" min="8" max="8" width="111.13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28" t="s">
        <v>10</v>
      </c>
    </row>
    <row r="2" ht="18.0" customHeight="1">
      <c r="A2" s="130" t="s">
        <v>331</v>
      </c>
    </row>
    <row r="3" ht="18.0" customHeight="1">
      <c r="A3" s="130"/>
    </row>
    <row r="4" ht="18.0" customHeight="1">
      <c r="A4" s="131" t="s">
        <v>332</v>
      </c>
    </row>
    <row r="5" ht="18.0" customHeight="1">
      <c r="A5" s="131" t="s">
        <v>333</v>
      </c>
    </row>
    <row r="6" ht="18.0" customHeight="1">
      <c r="A6" s="131" t="s">
        <v>334</v>
      </c>
    </row>
    <row r="7" ht="18.0" customHeight="1">
      <c r="A7" s="131" t="s">
        <v>335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1058.75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0.0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47</v>
      </c>
      <c r="D14" s="135">
        <v>950.0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7"/>
      <c r="T14" s="137"/>
    </row>
    <row r="15" ht="18.0" customHeight="1">
      <c r="A15" s="138" t="s">
        <v>43</v>
      </c>
      <c r="B15" s="138"/>
      <c r="C15" s="138" t="s">
        <v>313</v>
      </c>
      <c r="D15" s="139">
        <v>3800.0</v>
      </c>
      <c r="E15" s="140">
        <v>2925.0</v>
      </c>
      <c r="F15" s="140">
        <v>1058.75</v>
      </c>
      <c r="G15" s="140">
        <v>0.0</v>
      </c>
      <c r="H15" s="140">
        <v>0.0</v>
      </c>
      <c r="I15" s="140">
        <v>2532.0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46443.0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950.0</v>
      </c>
      <c r="F22" s="136">
        <v>0.0</v>
      </c>
      <c r="G22" s="136">
        <v>0.0</v>
      </c>
      <c r="H22" s="136">
        <v>0.0</v>
      </c>
      <c r="I22" s="136">
        <v>925.0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25.0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3675.0</v>
      </c>
      <c r="F23" s="140">
        <v>0.0</v>
      </c>
      <c r="G23" s="140">
        <v>0.0</v>
      </c>
      <c r="H23" s="140">
        <v>0.0</v>
      </c>
      <c r="I23" s="140">
        <v>3065.0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50.0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47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178</v>
      </c>
      <c r="D28" s="135">
        <v>621.0</v>
      </c>
      <c r="E28" s="136">
        <v>725.0</v>
      </c>
      <c r="F28" s="136">
        <v>1680.0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46431.0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1680.0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750.0</v>
      </c>
      <c r="F32" s="136">
        <v>-57.65</v>
      </c>
      <c r="G32" s="136">
        <v>0.0</v>
      </c>
      <c r="H32" s="136">
        <v>0.0</v>
      </c>
      <c r="I32" s="136">
        <v>750.0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21.01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1400.0</v>
      </c>
      <c r="F34" s="140">
        <v>-36.64</v>
      </c>
      <c r="G34" s="140">
        <v>0.0</v>
      </c>
      <c r="H34" s="140">
        <v>0.0</v>
      </c>
      <c r="I34" s="140">
        <v>1400.0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-1200.0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-1200.0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-800.0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0.0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46356.0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46400.0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46023.0</v>
      </c>
      <c r="T44" s="137">
        <v>46568.0</v>
      </c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1226.25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46568.0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45954.0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0.0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46355.0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0.0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800.0</v>
      </c>
      <c r="F54" s="136">
        <v>0.0</v>
      </c>
      <c r="G54" s="136">
        <v>0.0</v>
      </c>
      <c r="H54" s="136">
        <v>0.0</v>
      </c>
      <c r="I54" s="136">
        <v>800.0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46387.0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0.0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46081.0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750.0</v>
      </c>
      <c r="F58" s="136">
        <v>0.0</v>
      </c>
      <c r="G58" s="136">
        <v>0.0</v>
      </c>
      <c r="H58" s="136">
        <v>0.0</v>
      </c>
      <c r="I58" s="136">
        <v>750.0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46387.0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0.0</v>
      </c>
      <c r="F60" s="136">
        <v>402.88</v>
      </c>
      <c r="G60" s="136">
        <v>0.0</v>
      </c>
      <c r="H60" s="136">
        <v>0.0</v>
      </c>
      <c r="I60" s="136">
        <v>0.0</v>
      </c>
      <c r="J60" s="136">
        <v>0.0</v>
      </c>
      <c r="K60" s="136">
        <v>0.0</v>
      </c>
      <c r="L60" s="136">
        <v>0.0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99.5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-950.0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178</v>
      </c>
      <c r="D65" s="135">
        <v>700.0</v>
      </c>
      <c r="E65" s="136">
        <v>825.0</v>
      </c>
      <c r="F65" s="136">
        <v>2277.5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46442.0</v>
      </c>
    </row>
    <row r="68" ht="18.0" customHeight="1">
      <c r="A68" s="134" t="s">
        <v>91</v>
      </c>
      <c r="B68" s="134" t="s">
        <v>38</v>
      </c>
      <c r="C68" s="134" t="s">
        <v>39</v>
      </c>
      <c r="D68" s="135">
        <v>950.0</v>
      </c>
      <c r="E68" s="136">
        <v>800.0</v>
      </c>
      <c r="F68" s="136">
        <v>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942.32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750.0</v>
      </c>
      <c r="F70" s="136">
        <v>0.0</v>
      </c>
      <c r="G70" s="136">
        <v>0.0</v>
      </c>
      <c r="H70" s="136">
        <v>0.0</v>
      </c>
      <c r="I70" s="136">
        <v>750.0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83.0</v>
      </c>
      <c r="F72" s="136">
        <v>-59.81</v>
      </c>
      <c r="G72" s="136">
        <v>0.0</v>
      </c>
      <c r="H72" s="136">
        <v>0.0</v>
      </c>
      <c r="I72" s="136">
        <v>83.0</v>
      </c>
      <c r="J72" s="136">
        <v>0.0</v>
      </c>
      <c r="K72" s="136">
        <v>0.0</v>
      </c>
      <c r="L72" s="136">
        <v>0.0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0.0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46094.0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26918.0</v>
      </c>
      <c r="F76" s="140">
        <v>3138.64</v>
      </c>
      <c r="G76" s="140">
        <v>0.0</v>
      </c>
      <c r="H76" s="140">
        <v>0.0</v>
      </c>
      <c r="I76" s="140">
        <v>26853.0</v>
      </c>
      <c r="J76" s="140">
        <v>0.0</v>
      </c>
      <c r="K76" s="140">
        <v>0.0</v>
      </c>
      <c r="L76" s="140">
        <v>0.0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0.0</v>
      </c>
      <c r="F78" s="136">
        <v>0.0</v>
      </c>
      <c r="G78" s="136">
        <v>0.0</v>
      </c>
      <c r="H78" s="136">
        <v>0.0</v>
      </c>
      <c r="I78" s="136">
        <v>0.0</v>
      </c>
      <c r="J78" s="136">
        <v>0.0</v>
      </c>
      <c r="K78" s="136">
        <v>0.0</v>
      </c>
      <c r="L78" s="136">
        <v>0.0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39</v>
      </c>
      <c r="D79" s="135">
        <v>1400.0</v>
      </c>
      <c r="E79" s="136">
        <v>1350.0</v>
      </c>
      <c r="F79" s="136">
        <v>0.0</v>
      </c>
      <c r="G79" s="136">
        <v>0.0</v>
      </c>
      <c r="H79" s="136">
        <v>0.0</v>
      </c>
      <c r="I79" s="136">
        <v>1350.0</v>
      </c>
      <c r="J79" s="136">
        <v>0.0</v>
      </c>
      <c r="K79" s="136">
        <v>0.0</v>
      </c>
      <c r="L79" s="136">
        <v>0.0</v>
      </c>
      <c r="M79" s="136">
        <v>0.0</v>
      </c>
      <c r="N79" s="136">
        <v>0.0</v>
      </c>
      <c r="O79" s="136">
        <v>0.0</v>
      </c>
      <c r="P79" s="136">
        <v>0.0</v>
      </c>
      <c r="Q79" s="136">
        <v>0.0</v>
      </c>
      <c r="R79" s="136">
        <v>0.0</v>
      </c>
      <c r="S79" s="137">
        <v>46004.0</v>
      </c>
      <c r="T79" s="137">
        <v>46356.0</v>
      </c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39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46173.0</v>
      </c>
    </row>
    <row r="82" ht="18.0" customHeight="1">
      <c r="A82" s="134" t="s">
        <v>108</v>
      </c>
      <c r="B82" s="134" t="s">
        <v>104</v>
      </c>
      <c r="C82" s="134" t="s">
        <v>47</v>
      </c>
      <c r="D82" s="135">
        <v>1400.0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7"/>
      <c r="T82" s="137"/>
    </row>
    <row r="83" ht="18.0" customHeight="1">
      <c r="A83" s="134" t="s">
        <v>109</v>
      </c>
      <c r="B83" s="134" t="s">
        <v>38</v>
      </c>
      <c r="C83" s="134" t="s">
        <v>39</v>
      </c>
      <c r="D83" s="135">
        <v>1400.0</v>
      </c>
      <c r="E83" s="136">
        <v>1099.0</v>
      </c>
      <c r="F83" s="136">
        <v>0.0</v>
      </c>
      <c r="G83" s="136">
        <v>0.0</v>
      </c>
      <c r="H83" s="136">
        <v>0.0</v>
      </c>
      <c r="I83" s="136">
        <v>1099.0</v>
      </c>
      <c r="J83" s="136">
        <v>0.0</v>
      </c>
      <c r="K83" s="136">
        <v>0.0</v>
      </c>
      <c r="L83" s="136">
        <v>0.0</v>
      </c>
      <c r="M83" s="136">
        <v>0.0</v>
      </c>
      <c r="N83" s="136">
        <v>0.0</v>
      </c>
      <c r="O83" s="136">
        <v>0.0</v>
      </c>
      <c r="P83" s="136">
        <v>0.0</v>
      </c>
      <c r="Q83" s="136">
        <v>0.0</v>
      </c>
      <c r="R83" s="136">
        <v>0.0</v>
      </c>
      <c r="S83" s="137">
        <v>45992.0</v>
      </c>
      <c r="T83" s="137">
        <v>46356.0</v>
      </c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-10.01</v>
      </c>
      <c r="G84" s="136">
        <v>0.0</v>
      </c>
      <c r="H84" s="136">
        <v>0.0</v>
      </c>
      <c r="I84" s="136">
        <v>65.0</v>
      </c>
      <c r="J84" s="136">
        <v>0.0</v>
      </c>
      <c r="K84" s="136">
        <v>0.0</v>
      </c>
      <c r="L84" s="136">
        <v>835.0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39</v>
      </c>
      <c r="D86" s="135">
        <v>1400.0</v>
      </c>
      <c r="E86" s="136">
        <v>1099.0</v>
      </c>
      <c r="F86" s="136">
        <v>0.0</v>
      </c>
      <c r="G86" s="136">
        <v>0.0</v>
      </c>
      <c r="H86" s="136">
        <v>0.0</v>
      </c>
      <c r="I86" s="136">
        <v>1099.0</v>
      </c>
      <c r="J86" s="136">
        <v>0.0</v>
      </c>
      <c r="K86" s="136">
        <v>0.0</v>
      </c>
      <c r="L86" s="136">
        <v>0.0</v>
      </c>
      <c r="M86" s="136">
        <v>0.0</v>
      </c>
      <c r="N86" s="136">
        <v>0.0</v>
      </c>
      <c r="O86" s="136">
        <v>0.0</v>
      </c>
      <c r="P86" s="136">
        <v>0.0</v>
      </c>
      <c r="Q86" s="136">
        <v>0.0</v>
      </c>
      <c r="R86" s="136">
        <v>0.0</v>
      </c>
      <c r="S86" s="137">
        <v>46002.0</v>
      </c>
      <c r="T86" s="137">
        <v>46356.0</v>
      </c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100.0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1291.2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47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107</v>
      </c>
      <c r="D93" s="135">
        <v>1400.0</v>
      </c>
      <c r="E93" s="136">
        <v>1150.0</v>
      </c>
      <c r="F93" s="136">
        <v>35.0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41.0</v>
      </c>
      <c r="G95" s="136">
        <v>0.0</v>
      </c>
      <c r="H95" s="136">
        <v>0.0</v>
      </c>
      <c r="I95" s="136">
        <v>371.0</v>
      </c>
      <c r="J95" s="136">
        <v>0.0</v>
      </c>
      <c r="K95" s="136">
        <v>0.0</v>
      </c>
      <c r="L95" s="136">
        <v>529.0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104</v>
      </c>
      <c r="C96" s="134" t="s">
        <v>39</v>
      </c>
      <c r="D96" s="135">
        <v>1400.0</v>
      </c>
      <c r="E96" s="136">
        <v>1365.0</v>
      </c>
      <c r="F96" s="136">
        <v>-1.0</v>
      </c>
      <c r="G96" s="136">
        <v>0.0</v>
      </c>
      <c r="H96" s="136">
        <v>0.0</v>
      </c>
      <c r="I96" s="136">
        <v>1350.0</v>
      </c>
      <c r="J96" s="136">
        <v>0.0</v>
      </c>
      <c r="K96" s="136">
        <v>0.0</v>
      </c>
      <c r="L96" s="136">
        <v>0.0</v>
      </c>
      <c r="M96" s="136">
        <v>0.0</v>
      </c>
      <c r="N96" s="136">
        <v>0.0</v>
      </c>
      <c r="O96" s="136">
        <v>0.0</v>
      </c>
      <c r="P96" s="136">
        <v>0.0</v>
      </c>
      <c r="Q96" s="136">
        <v>0.0</v>
      </c>
      <c r="R96" s="136">
        <v>15.0</v>
      </c>
      <c r="S96" s="137">
        <v>46006.0</v>
      </c>
      <c r="T96" s="137">
        <v>46356.0</v>
      </c>
    </row>
    <row r="97" ht="18.0" customHeight="1">
      <c r="A97" s="134" t="s">
        <v>124</v>
      </c>
      <c r="B97" s="134" t="s">
        <v>115</v>
      </c>
      <c r="C97" s="134" t="s">
        <v>178</v>
      </c>
      <c r="D97" s="135">
        <v>1400.0</v>
      </c>
      <c r="E97" s="136">
        <v>1300.0</v>
      </c>
      <c r="F97" s="136">
        <v>4150.0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-720.0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67.5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>
        <v>46356.0</v>
      </c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0.0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297</v>
      </c>
      <c r="D108" s="135">
        <v>1400.0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7"/>
      <c r="T108" s="137"/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47</v>
      </c>
      <c r="D113" s="135">
        <v>1400.0</v>
      </c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7"/>
      <c r="T113" s="137"/>
    </row>
    <row r="114" ht="18.0" customHeight="1">
      <c r="A114" s="134" t="s">
        <v>141</v>
      </c>
      <c r="B114" s="134" t="s">
        <v>38</v>
      </c>
      <c r="C114" s="134" t="s">
        <v>47</v>
      </c>
      <c r="D114" s="135">
        <v>1400.0</v>
      </c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7"/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0.0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45992.0</v>
      </c>
      <c r="T115" s="137">
        <v>46356.0</v>
      </c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-83.0</v>
      </c>
      <c r="G116" s="136">
        <v>0.0</v>
      </c>
      <c r="H116" s="136">
        <v>0.0</v>
      </c>
      <c r="I116" s="136">
        <v>125.0</v>
      </c>
      <c r="J116" s="136">
        <v>0.0</v>
      </c>
      <c r="K116" s="136">
        <v>0.0</v>
      </c>
      <c r="L116" s="136">
        <v>850.0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45992.0</v>
      </c>
      <c r="T116" s="137">
        <v>46356.0</v>
      </c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0.0</v>
      </c>
      <c r="G118" s="136">
        <v>0.0</v>
      </c>
      <c r="H118" s="136">
        <v>0.0</v>
      </c>
      <c r="I118" s="136">
        <v>334.0</v>
      </c>
      <c r="J118" s="136">
        <v>0.0</v>
      </c>
      <c r="K118" s="136">
        <v>0.0</v>
      </c>
      <c r="L118" s="136">
        <v>1016.0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-5.0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665.75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1400.0</v>
      </c>
      <c r="F125" s="136">
        <v>-686.0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50.0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67.5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107</v>
      </c>
      <c r="D128" s="135">
        <v>1400.0</v>
      </c>
      <c r="E128" s="136">
        <v>1000.0</v>
      </c>
      <c r="F128" s="136">
        <v>950.0</v>
      </c>
      <c r="G128" s="136">
        <v>0.0</v>
      </c>
      <c r="H128" s="136">
        <v>0.0</v>
      </c>
      <c r="I128" s="136">
        <v>1000.0</v>
      </c>
      <c r="J128" s="136">
        <v>0.0</v>
      </c>
      <c r="K128" s="136">
        <v>0.0</v>
      </c>
      <c r="L128" s="136">
        <v>0.0</v>
      </c>
      <c r="M128" s="136">
        <v>0.0</v>
      </c>
      <c r="N128" s="136">
        <v>0.0</v>
      </c>
      <c r="O128" s="136">
        <v>0.0</v>
      </c>
      <c r="P128" s="136">
        <v>0.0</v>
      </c>
      <c r="Q128" s="136">
        <v>0.0</v>
      </c>
      <c r="R128" s="136">
        <v>0.0</v>
      </c>
      <c r="S128" s="137">
        <v>44927.0</v>
      </c>
      <c r="T128" s="137"/>
    </row>
    <row r="129" ht="18.0" customHeight="1">
      <c r="A129" s="138" t="s">
        <v>156</v>
      </c>
      <c r="B129" s="138"/>
      <c r="C129" s="138" t="s">
        <v>279</v>
      </c>
      <c r="D129" s="139">
        <v>71400.0</v>
      </c>
      <c r="E129" s="140">
        <v>43298.0</v>
      </c>
      <c r="F129" s="140">
        <v>5862.94</v>
      </c>
      <c r="G129" s="140">
        <v>0.0</v>
      </c>
      <c r="H129" s="140">
        <v>0.0</v>
      </c>
      <c r="I129" s="140">
        <v>37263.0</v>
      </c>
      <c r="J129" s="140">
        <v>0.0</v>
      </c>
      <c r="K129" s="140">
        <v>0.0</v>
      </c>
      <c r="L129" s="140">
        <v>5970.0</v>
      </c>
      <c r="M129" s="140">
        <v>0.0</v>
      </c>
      <c r="N129" s="140">
        <v>0.0</v>
      </c>
      <c r="O129" s="140">
        <v>50.0</v>
      </c>
      <c r="P129" s="140">
        <v>0.0</v>
      </c>
      <c r="Q129" s="140">
        <v>0.0</v>
      </c>
      <c r="R129" s="140">
        <v>15.0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0.0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0.0</v>
      </c>
      <c r="G132" s="136">
        <v>900.0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0.0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-340.0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-100.0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0.0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297</v>
      </c>
      <c r="D138" s="135">
        <v>800.0</v>
      </c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7"/>
      <c r="T138" s="137"/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1050.0</v>
      </c>
      <c r="F139" s="136">
        <v>160.0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1000.0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>
        <v>46203.0</v>
      </c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0.0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1225.0</v>
      </c>
      <c r="F141" s="136">
        <v>0.0</v>
      </c>
      <c r="G141" s="136">
        <v>0.0</v>
      </c>
      <c r="H141" s="136">
        <v>50.0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-100.0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1230.0</v>
      </c>
      <c r="F143" s="136">
        <v>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1150.0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>
        <v>46387.0</v>
      </c>
    </row>
    <row r="144" ht="18.0" customHeight="1">
      <c r="A144" s="134" t="s">
        <v>173</v>
      </c>
      <c r="B144" s="134" t="s">
        <v>168</v>
      </c>
      <c r="C144" s="134" t="s">
        <v>39</v>
      </c>
      <c r="D144" s="135">
        <v>1000.0</v>
      </c>
      <c r="E144" s="136">
        <v>1125.0</v>
      </c>
      <c r="F144" s="136">
        <v>0.0</v>
      </c>
      <c r="G144" s="136">
        <v>0.0</v>
      </c>
      <c r="H144" s="136">
        <v>0.0</v>
      </c>
      <c r="I144" s="136">
        <v>1125.0</v>
      </c>
      <c r="J144" s="136">
        <v>0.0</v>
      </c>
      <c r="K144" s="136">
        <v>0.0</v>
      </c>
      <c r="L144" s="136">
        <v>0.0</v>
      </c>
      <c r="M144" s="136">
        <v>0.0</v>
      </c>
      <c r="N144" s="136">
        <v>0.0</v>
      </c>
      <c r="O144" s="136">
        <v>0.0</v>
      </c>
      <c r="P144" s="136">
        <v>0.0</v>
      </c>
      <c r="Q144" s="136">
        <v>0.0</v>
      </c>
      <c r="R144" s="136">
        <v>0.0</v>
      </c>
      <c r="S144" s="137">
        <v>45996.0</v>
      </c>
      <c r="T144" s="137">
        <v>46356.0</v>
      </c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421.0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46568.0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0.0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0.0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0.0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0.0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>
        <v>46356.0</v>
      </c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1000.0</v>
      </c>
      <c r="F153" s="136">
        <v>-466.0</v>
      </c>
      <c r="G153" s="136">
        <v>0.0</v>
      </c>
      <c r="H153" s="136">
        <v>0.0</v>
      </c>
      <c r="I153" s="136">
        <v>255.0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>
        <v>46387.0</v>
      </c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1723.43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0.0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>
        <v>46418.0</v>
      </c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0.0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>
        <v>46326.0</v>
      </c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0.0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47</v>
      </c>
      <c r="D159" s="135">
        <v>850.0</v>
      </c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7"/>
      <c r="T159" s="137"/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0.0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>
        <v>46326.0</v>
      </c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-15.0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>
        <v>46387.0</v>
      </c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357.0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5.0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0.0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0.0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39</v>
      </c>
      <c r="D166" s="135">
        <v>850.0</v>
      </c>
      <c r="E166" s="136">
        <v>1000.0</v>
      </c>
      <c r="F166" s="136">
        <v>1200.0</v>
      </c>
      <c r="G166" s="136">
        <v>0.0</v>
      </c>
      <c r="H166" s="136">
        <v>0.0</v>
      </c>
      <c r="I166" s="136">
        <v>1000.0</v>
      </c>
      <c r="J166" s="136">
        <v>0.0</v>
      </c>
      <c r="K166" s="136">
        <v>0.0</v>
      </c>
      <c r="L166" s="136">
        <v>0.0</v>
      </c>
      <c r="M166" s="136">
        <v>0.0</v>
      </c>
      <c r="N166" s="136">
        <v>0.0</v>
      </c>
      <c r="O166" s="136">
        <v>0.0</v>
      </c>
      <c r="P166" s="136">
        <v>0.0</v>
      </c>
      <c r="Q166" s="136">
        <v>0.0</v>
      </c>
      <c r="R166" s="136">
        <v>0.0</v>
      </c>
      <c r="S166" s="137">
        <v>45786.0</v>
      </c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46387.0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843.0</v>
      </c>
      <c r="F168" s="136">
        <v>406.0</v>
      </c>
      <c r="G168" s="136">
        <v>0.0</v>
      </c>
      <c r="H168" s="136">
        <v>0.0</v>
      </c>
      <c r="I168" s="136">
        <v>406.0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437.0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46387.0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900.0</v>
      </c>
      <c r="F169" s="136">
        <v>0.0</v>
      </c>
      <c r="G169" s="136">
        <v>0.0</v>
      </c>
      <c r="H169" s="136">
        <v>0.0</v>
      </c>
      <c r="I169" s="136">
        <v>900.0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>
        <v>46387.0</v>
      </c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280</v>
      </c>
      <c r="D171" s="139">
        <v>34800.0</v>
      </c>
      <c r="E171" s="140">
        <v>33194.5</v>
      </c>
      <c r="F171" s="140">
        <v>3251.43</v>
      </c>
      <c r="G171" s="140">
        <v>900.0</v>
      </c>
      <c r="H171" s="140">
        <v>180.0</v>
      </c>
      <c r="I171" s="140">
        <v>16410.0</v>
      </c>
      <c r="J171" s="140">
        <v>0.0</v>
      </c>
      <c r="K171" s="140">
        <v>4491.0</v>
      </c>
      <c r="L171" s="140">
        <v>0.0</v>
      </c>
      <c r="M171" s="140">
        <v>1958.0</v>
      </c>
      <c r="N171" s="140">
        <v>9120.0</v>
      </c>
      <c r="O171" s="140">
        <v>125.0</v>
      </c>
      <c r="P171" s="140">
        <v>0.0</v>
      </c>
      <c r="Q171" s="140">
        <v>0.0</v>
      </c>
      <c r="R171" s="140">
        <v>10.5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-900.0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407.5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0.0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0.0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795.0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-675.0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602.0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238.0</v>
      </c>
      <c r="F190" s="136">
        <v>-203.48</v>
      </c>
      <c r="G190" s="136">
        <v>0.0</v>
      </c>
      <c r="H190" s="136">
        <v>0.0</v>
      </c>
      <c r="I190" s="136">
        <v>238.0</v>
      </c>
      <c r="J190" s="136">
        <v>0.0</v>
      </c>
      <c r="K190" s="136">
        <v>0.0</v>
      </c>
      <c r="L190" s="136">
        <v>0.0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297</v>
      </c>
      <c r="D192" s="135">
        <v>825.0</v>
      </c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7"/>
      <c r="T192" s="137"/>
    </row>
    <row r="193" ht="18.0" customHeight="1">
      <c r="A193" s="134" t="s">
        <v>224</v>
      </c>
      <c r="B193" s="134" t="s">
        <v>56</v>
      </c>
      <c r="C193" s="134" t="s">
        <v>39</v>
      </c>
      <c r="D193" s="135">
        <v>750.0</v>
      </c>
      <c r="E193" s="136">
        <v>840.0</v>
      </c>
      <c r="F193" s="136">
        <v>0.0</v>
      </c>
      <c r="G193" s="136">
        <v>0.0</v>
      </c>
      <c r="H193" s="136">
        <v>0.0</v>
      </c>
      <c r="I193" s="136">
        <v>800.0</v>
      </c>
      <c r="J193" s="136">
        <v>0.0</v>
      </c>
      <c r="K193" s="136">
        <v>0.0</v>
      </c>
      <c r="L193" s="136">
        <v>0.0</v>
      </c>
      <c r="M193" s="136">
        <v>0.0</v>
      </c>
      <c r="N193" s="136">
        <v>0.0</v>
      </c>
      <c r="O193" s="136">
        <v>25.0</v>
      </c>
      <c r="P193" s="136">
        <v>0.0</v>
      </c>
      <c r="Q193" s="136">
        <v>0.0</v>
      </c>
      <c r="R193" s="136">
        <v>15.0</v>
      </c>
      <c r="S193" s="137">
        <v>45987.0</v>
      </c>
      <c r="T193" s="137">
        <v>46326.0</v>
      </c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750.0</v>
      </c>
      <c r="F194" s="136">
        <v>-775.0</v>
      </c>
      <c r="G194" s="136">
        <v>0.0</v>
      </c>
      <c r="H194" s="136">
        <v>0.0</v>
      </c>
      <c r="I194" s="136">
        <v>750.0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>
        <v>46568.0</v>
      </c>
    </row>
    <row r="195" ht="18.0" customHeight="1">
      <c r="A195" s="138" t="s">
        <v>226</v>
      </c>
      <c r="B195" s="138"/>
      <c r="C195" s="138" t="s">
        <v>306</v>
      </c>
      <c r="D195" s="139">
        <v>17550.0</v>
      </c>
      <c r="E195" s="140">
        <v>16463.0</v>
      </c>
      <c r="F195" s="140">
        <v>-748.98</v>
      </c>
      <c r="G195" s="140">
        <v>0.0</v>
      </c>
      <c r="H195" s="140">
        <v>0.0</v>
      </c>
      <c r="I195" s="140">
        <v>16423.0</v>
      </c>
      <c r="J195" s="140">
        <v>0.0</v>
      </c>
      <c r="K195" s="140">
        <v>0.0</v>
      </c>
      <c r="L195" s="140">
        <v>0.0</v>
      </c>
      <c r="M195" s="140">
        <v>0.0</v>
      </c>
      <c r="N195" s="140">
        <v>0.0</v>
      </c>
      <c r="O195" s="140">
        <v>25.0</v>
      </c>
      <c r="P195" s="140">
        <v>0.0</v>
      </c>
      <c r="Q195" s="140">
        <v>0.0</v>
      </c>
      <c r="R195" s="140">
        <v>15.0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221.0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-1075.0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13.0</v>
      </c>
      <c r="G199" s="136">
        <v>0.0</v>
      </c>
      <c r="H199" s="136">
        <v>225.0</v>
      </c>
      <c r="I199" s="136">
        <v>122.0</v>
      </c>
      <c r="J199" s="136">
        <v>0.0</v>
      </c>
      <c r="K199" s="136">
        <v>0.0</v>
      </c>
      <c r="L199" s="136">
        <v>903.0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1175.0</v>
      </c>
      <c r="F200" s="136">
        <v>0.0</v>
      </c>
      <c r="G200" s="136">
        <v>0.0</v>
      </c>
      <c r="H200" s="136">
        <v>225.0</v>
      </c>
      <c r="I200" s="136">
        <v>950.0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-924.0</v>
      </c>
      <c r="G202" s="136">
        <v>0.0</v>
      </c>
      <c r="H202" s="136">
        <v>225.0</v>
      </c>
      <c r="I202" s="136">
        <v>144.0</v>
      </c>
      <c r="J202" s="136">
        <v>0.0</v>
      </c>
      <c r="K202" s="136">
        <v>0.0</v>
      </c>
      <c r="L202" s="136">
        <v>881.0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-1250.0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957.51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424.0</v>
      </c>
      <c r="F207" s="136">
        <v>-19.26</v>
      </c>
      <c r="G207" s="136">
        <v>0.0</v>
      </c>
      <c r="H207" s="136">
        <v>225.0</v>
      </c>
      <c r="I207" s="136">
        <v>199.0</v>
      </c>
      <c r="J207" s="136">
        <v>0.0</v>
      </c>
      <c r="K207" s="136">
        <v>0.0</v>
      </c>
      <c r="L207" s="136">
        <v>0.0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-91.25</v>
      </c>
      <c r="G208" s="136">
        <v>0.0</v>
      </c>
      <c r="H208" s="136">
        <v>225.0</v>
      </c>
      <c r="I208" s="136">
        <v>222.0</v>
      </c>
      <c r="J208" s="136">
        <v>0.0</v>
      </c>
      <c r="K208" s="136">
        <v>0.0</v>
      </c>
      <c r="L208" s="136">
        <v>803.0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733.0</v>
      </c>
      <c r="F211" s="136">
        <v>-2.0</v>
      </c>
      <c r="G211" s="136">
        <v>0.0</v>
      </c>
      <c r="H211" s="136">
        <v>225.0</v>
      </c>
      <c r="I211" s="136">
        <v>508.0</v>
      </c>
      <c r="J211" s="136">
        <v>0.0</v>
      </c>
      <c r="K211" s="136">
        <v>0.0</v>
      </c>
      <c r="L211" s="136">
        <v>0.0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-1250.0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275.25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0.0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46006.0</v>
      </c>
    </row>
    <row r="217" ht="18.0" customHeight="1">
      <c r="A217" s="134" t="s">
        <v>84</v>
      </c>
      <c r="B217" s="134" t="s">
        <v>38</v>
      </c>
      <c r="C217" s="134" t="s">
        <v>47</v>
      </c>
      <c r="D217" s="135">
        <v>825.0</v>
      </c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7"/>
      <c r="T217" s="137"/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0.0</v>
      </c>
      <c r="G222" s="136">
        <v>0.0</v>
      </c>
      <c r="H222" s="136">
        <v>225.0</v>
      </c>
      <c r="I222" s="136">
        <v>408.0</v>
      </c>
      <c r="J222" s="136">
        <v>0.0</v>
      </c>
      <c r="K222" s="136">
        <v>0.0</v>
      </c>
      <c r="L222" s="136">
        <v>667.0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46081.0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1250.0</v>
      </c>
      <c r="F225" s="136">
        <v>400.0</v>
      </c>
      <c r="G225" s="136">
        <v>0.0</v>
      </c>
      <c r="H225" s="136">
        <v>225.0</v>
      </c>
      <c r="I225" s="136">
        <v>1025.0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>
        <v>46387.0</v>
      </c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1125.0</v>
      </c>
      <c r="F226" s="136">
        <v>-1125.0</v>
      </c>
      <c r="G226" s="136">
        <v>0.0</v>
      </c>
      <c r="H226" s="136">
        <v>225.0</v>
      </c>
      <c r="I226" s="136">
        <v>900.0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46387.0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0.0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-20.0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46446.0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1039.5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472.0</v>
      </c>
      <c r="G233" s="136">
        <v>0.0</v>
      </c>
      <c r="H233" s="136">
        <v>225.0</v>
      </c>
      <c r="I233" s="136">
        <v>448.0</v>
      </c>
      <c r="J233" s="136">
        <v>0.0</v>
      </c>
      <c r="K233" s="136">
        <v>0.0</v>
      </c>
      <c r="L233" s="136">
        <v>577.0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343.7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47</v>
      </c>
      <c r="D236" s="135">
        <v>825.0</v>
      </c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7"/>
      <c r="T236" s="137"/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-170.0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39</v>
      </c>
      <c r="D238" s="135">
        <v>825.0</v>
      </c>
      <c r="E238" s="136">
        <v>1250.0</v>
      </c>
      <c r="F238" s="136">
        <v>935.65</v>
      </c>
      <c r="G238" s="136">
        <v>0.0</v>
      </c>
      <c r="H238" s="136">
        <v>225.0</v>
      </c>
      <c r="I238" s="136">
        <v>1025.0</v>
      </c>
      <c r="J238" s="136">
        <v>0.0</v>
      </c>
      <c r="K238" s="136">
        <v>0.0</v>
      </c>
      <c r="L238" s="136">
        <v>0.0</v>
      </c>
      <c r="M238" s="136">
        <v>0.0</v>
      </c>
      <c r="N238" s="136">
        <v>0.0</v>
      </c>
      <c r="O238" s="136">
        <v>0.0</v>
      </c>
      <c r="P238" s="136">
        <v>0.0</v>
      </c>
      <c r="Q238" s="136">
        <v>0.0</v>
      </c>
      <c r="R238" s="136">
        <v>0.0</v>
      </c>
      <c r="S238" s="137">
        <v>45139.0</v>
      </c>
      <c r="T238" s="137">
        <v>45987.0</v>
      </c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-2675.0</v>
      </c>
      <c r="G239" s="136">
        <v>0.0</v>
      </c>
      <c r="H239" s="136">
        <v>125.0</v>
      </c>
      <c r="I239" s="136">
        <v>186.0</v>
      </c>
      <c r="J239" s="136">
        <v>0.0</v>
      </c>
      <c r="K239" s="136">
        <v>0.0</v>
      </c>
      <c r="L239" s="136">
        <v>687.0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1250.0</v>
      </c>
      <c r="F240" s="136">
        <v>1959.2</v>
      </c>
      <c r="G240" s="136">
        <v>0.0</v>
      </c>
      <c r="H240" s="136">
        <v>225.0</v>
      </c>
      <c r="I240" s="136">
        <v>99.0</v>
      </c>
      <c r="J240" s="136">
        <v>0.0</v>
      </c>
      <c r="K240" s="136">
        <v>0.0</v>
      </c>
      <c r="L240" s="136">
        <v>926.0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>
        <v>46302.0</v>
      </c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0.0</v>
      </c>
      <c r="G241" s="136">
        <v>0.0</v>
      </c>
      <c r="H241" s="136">
        <v>225.0</v>
      </c>
      <c r="I241" s="136">
        <v>275.0</v>
      </c>
      <c r="J241" s="136">
        <v>0.0</v>
      </c>
      <c r="K241" s="136">
        <v>0.0</v>
      </c>
      <c r="L241" s="136">
        <v>750.0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-1.4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-950.0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>
        <v>46387.0</v>
      </c>
    </row>
    <row r="247" ht="18.0" customHeight="1">
      <c r="A247" s="138" t="s">
        <v>244</v>
      </c>
      <c r="B247" s="138"/>
      <c r="C247" s="138" t="s">
        <v>336</v>
      </c>
      <c r="D247" s="139">
        <v>40350.0</v>
      </c>
      <c r="E247" s="140">
        <v>49671.3</v>
      </c>
      <c r="F247" s="140">
        <v>-3091.1</v>
      </c>
      <c r="G247" s="140">
        <v>0.0</v>
      </c>
      <c r="H247" s="140">
        <v>8645.8</v>
      </c>
      <c r="I247" s="140">
        <v>33081.5</v>
      </c>
      <c r="J247" s="140">
        <v>0.0</v>
      </c>
      <c r="K247" s="140">
        <v>0.0</v>
      </c>
      <c r="L247" s="140">
        <v>7854.0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700.0</v>
      </c>
      <c r="F249" s="136">
        <v>557.42</v>
      </c>
      <c r="G249" s="136">
        <v>0.0</v>
      </c>
      <c r="H249" s="136">
        <v>0.0</v>
      </c>
      <c r="I249" s="136">
        <v>215.0</v>
      </c>
      <c r="J249" s="136">
        <v>485.0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28.99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46081.0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28.99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28.99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46477.0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-721.01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28.99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-796.01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-376.01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46477.0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-28.08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28.99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-271.01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-81.97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28.99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178</v>
      </c>
      <c r="D262" s="135">
        <v>675.0</v>
      </c>
      <c r="E262" s="136">
        <v>775.0</v>
      </c>
      <c r="F262" s="136">
        <v>1038.39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700.0</v>
      </c>
      <c r="F263" s="136">
        <v>379.6</v>
      </c>
      <c r="G263" s="136">
        <v>0.0</v>
      </c>
      <c r="H263" s="136">
        <v>0.0</v>
      </c>
      <c r="I263" s="136">
        <v>700.0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>
        <v>46356.0</v>
      </c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-646.01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46447.0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-7.84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-0.01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-71.01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46403.0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0.0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46418.0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575.0</v>
      </c>
      <c r="F269" s="136">
        <v>-746.01</v>
      </c>
      <c r="G269" s="136">
        <v>0.0</v>
      </c>
      <c r="H269" s="136">
        <v>0.0</v>
      </c>
      <c r="I269" s="136">
        <v>575.0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-28.99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0.0</v>
      </c>
      <c r="G271" s="136">
        <v>0.0</v>
      </c>
      <c r="H271" s="136">
        <v>0.0</v>
      </c>
      <c r="I271" s="136">
        <v>56.0</v>
      </c>
      <c r="J271" s="136">
        <v>694.0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46029.0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-750.0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46326.0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-553.01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87.17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28.99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750.0</v>
      </c>
      <c r="F276" s="136">
        <v>28.99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0.0</v>
      </c>
      <c r="S276" s="137">
        <v>44742.0</v>
      </c>
      <c r="T276" s="137">
        <v>46203.0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-177.0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836.35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46294.0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22100.0</v>
      </c>
      <c r="F279" s="140">
        <v>-2123.12</v>
      </c>
      <c r="G279" s="140">
        <v>0.0</v>
      </c>
      <c r="H279" s="140">
        <v>0.0</v>
      </c>
      <c r="I279" s="140">
        <v>18819.0</v>
      </c>
      <c r="J279" s="140">
        <v>3231.0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0.0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307</v>
      </c>
      <c r="D281" s="139">
        <v>229909.0</v>
      </c>
      <c r="E281" s="140">
        <v>204969.8</v>
      </c>
      <c r="F281" s="140">
        <v>7791.92</v>
      </c>
      <c r="G281" s="140">
        <v>900.0</v>
      </c>
      <c r="H281" s="140">
        <v>8825.8</v>
      </c>
      <c r="I281" s="140">
        <v>161171.5</v>
      </c>
      <c r="J281" s="140">
        <v>4159.0</v>
      </c>
      <c r="K281" s="140">
        <v>4491.0</v>
      </c>
      <c r="L281" s="140">
        <v>13824.0</v>
      </c>
      <c r="M281" s="140">
        <v>1958.0</v>
      </c>
      <c r="N281" s="140">
        <v>9120.0</v>
      </c>
      <c r="O281" s="140">
        <v>425.0</v>
      </c>
      <c r="P281" s="140">
        <v>25.0</v>
      </c>
      <c r="Q281" s="140">
        <v>15.0</v>
      </c>
      <c r="R281" s="140">
        <v>55.5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0.9184081633</v>
      </c>
      <c r="D282" s="145">
        <f t="shared" ref="D282:D284" si="2">IFERROR(
  SUMPRODUCT((A$285:A$295=A282)*D$285:D$295*I$285:I$295) /
  SUMPRODUCT((A$285:A$295=A282)*I$285:I$295),
0)</f>
        <v>1.043944347</v>
      </c>
      <c r="E282" s="146">
        <f t="shared" ref="E282:E284" si="3">IFERROR(
  SUMPRODUCT((A$285:A$295=A282)*E$285:E$295),
0)
</f>
        <v>-2084.5</v>
      </c>
      <c r="F282" s="147">
        <f t="shared" ref="F282:F284" si="4">IFERROR(
  SUMPRODUCT((A$285:A$295=A282)*F$285:F$295),
0)
</f>
        <v>-621.01</v>
      </c>
      <c r="G282" s="148">
        <f t="shared" ref="G282:G284" si="5">IFERROR(
  SUMPRODUCT((A$285:A$295=A282)*G$285:G$295),
0)
</f>
        <v>3</v>
      </c>
      <c r="H282" s="149">
        <f t="shared" ref="H282:H284" si="6">IFERROR(
  SUMPRODUCT((A$285:A$295=A282)*H$285:H$295*I$285:I$295) /
  SUMPRODUCT((A$285:A$295=A282)*I$285:I$295),
0)</f>
        <v>0.8418367347</v>
      </c>
    </row>
    <row r="283" ht="18.0" customHeight="1">
      <c r="A283" s="152" t="s">
        <v>251</v>
      </c>
      <c r="B283" s="153"/>
      <c r="C283" s="154">
        <f t="shared" si="1"/>
        <v>0.8428238994</v>
      </c>
      <c r="D283" s="155">
        <f t="shared" si="2"/>
        <v>0.9887184525</v>
      </c>
      <c r="E283" s="156">
        <f t="shared" si="3"/>
        <v>-471.65</v>
      </c>
      <c r="F283" s="157">
        <f t="shared" si="4"/>
        <v>5161.5</v>
      </c>
      <c r="G283" s="158">
        <f t="shared" si="5"/>
        <v>2</v>
      </c>
      <c r="H283" s="149">
        <f t="shared" si="6"/>
        <v>0.7453728295</v>
      </c>
    </row>
    <row r="284" ht="18.0" customHeight="1">
      <c r="A284" s="160" t="s">
        <v>252</v>
      </c>
      <c r="B284" s="161"/>
      <c r="C284" s="162">
        <f t="shared" si="1"/>
        <v>0.9</v>
      </c>
      <c r="D284" s="163">
        <f t="shared" si="2"/>
        <v>0.9329858862</v>
      </c>
      <c r="E284" s="164">
        <f t="shared" si="3"/>
        <v>2224.5</v>
      </c>
      <c r="F284" s="165">
        <f t="shared" si="4"/>
        <v>3251.43</v>
      </c>
      <c r="G284" s="166">
        <f t="shared" si="5"/>
        <v>0</v>
      </c>
      <c r="H284" s="149">
        <f t="shared" si="6"/>
        <v>0.7222222222</v>
      </c>
    </row>
    <row r="285" ht="18.0" customHeight="1">
      <c r="A285" s="169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"),0.75)</f>
        <v>0.75</v>
      </c>
      <c r="D285" s="172">
        <f t="array" ref="D285">SUM(MAP(E11:E14, F11:F14, LAMBDA(e,f, MAX(0, e-f)))) / SUM(E11:E14)
</f>
        <v>0.7008547009</v>
      </c>
      <c r="E285" s="173">
        <f t="array" ref="E285">SUM(MAP(E$11:E$14, F$11:F$14, LAMBDA(e,f, MIN(e, f))))
</f>
        <v>875</v>
      </c>
      <c r="F285" s="174">
        <f>F15</f>
        <v>1058.75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"),1.0)</f>
        <v>1</v>
      </c>
      <c r="I285" s="175">
        <v>4.0</v>
      </c>
      <c r="J285" s="177">
        <v>46340.0</v>
      </c>
    </row>
    <row r="286" ht="18.0" customHeight="1">
      <c r="A286" s="169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1</v>
      </c>
      <c r="E286" s="173">
        <f t="array" ref="E286">SUM(MAP(E$17:E$22, F$17:F$22, LAMBDA(e,f, MIN(e, f))))
</f>
        <v>0</v>
      </c>
      <c r="F286" s="174">
        <f>F23</f>
        <v>0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"),0.75)</f>
        <v>0.75</v>
      </c>
      <c r="I286" s="175">
        <v>6.0</v>
      </c>
      <c r="J286" s="179" t="s">
        <v>255</v>
      </c>
    </row>
    <row r="287" ht="18.0" customHeight="1">
      <c r="A287" s="169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"),0.8)</f>
        <v>0.8</v>
      </c>
      <c r="D287" s="172">
        <f t="array" ref="D287">SUM(MAP(E25:E29, F25:F29, LAMBDA(e, f, MAX(0, e - f)))) / SUM(E25:E29)</f>
        <v>0.7521367521</v>
      </c>
      <c r="E287" s="173">
        <f t="array" ref="E287">SUM(MAP(E$25:E$29, F$25:F$29, LAMBDA(e,f, MIN(e, f))))
</f>
        <v>725</v>
      </c>
      <c r="F287" s="174">
        <f>F30</f>
        <v>1680</v>
      </c>
      <c r="G287" s="175">
        <f>IFERROR(__xludf.DUMMYFUNCTION("SUMPRODUCT(--(C25:C29&lt;&gt;""Vacant-Unrented""),--(C25:C29&lt;&gt;""Vacant-Rented""),--((N(W25:W29)&gt;N(X25:X29))+N(REGEXMATCH(LOWER(C25:C29),""evict""))&gt;0))"),1.0)</f>
        <v>1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"),0.75)</f>
        <v>0.75</v>
      </c>
      <c r="I287" s="175">
        <v>5.0</v>
      </c>
      <c r="J287" s="179" t="s">
        <v>257</v>
      </c>
    </row>
    <row r="288" ht="18.0" customHeight="1">
      <c r="A288" s="169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1.026171429</v>
      </c>
      <c r="E288" s="173">
        <f t="array" ref="E288">SUM(MAP(E$32:E$33, F$32:F$33, LAMBDA(e,f, MIN(e, f))))
</f>
        <v>-36.64</v>
      </c>
      <c r="F288" s="174">
        <f>F34</f>
        <v>-36.64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  <c r="J288" s="179" t="s">
        <v>259</v>
      </c>
    </row>
    <row r="289" ht="18.0" customHeight="1">
      <c r="A289" s="169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1.5</v>
      </c>
      <c r="E289" s="173">
        <f t="array" ref="E289">SUM(MAP(E$36:E$37, F$36:F$37, LAMBDA(e,f, MIN(e, f))))
</f>
        <v>-1200</v>
      </c>
      <c r="F289" s="174">
        <f>F38</f>
        <v>-1200</v>
      </c>
      <c r="G289" s="175">
        <f>IFERROR(__xludf.DUMMYFUNCTION("SUMPRODUCT(--(C40:C75&lt;&gt;""Vacant-Unrented""),--(C40:C75&lt;&gt;""Vacant-Rented""),--((N(W40:W75)&gt;N(X40:X75))+N(REGEXMATCH(LOWER(C40:C75),""evict""))&gt;0))"),1.0)</f>
        <v>1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  <c r="J289" s="179" t="s">
        <v>261</v>
      </c>
    </row>
    <row r="290" ht="18.0" customHeight="1">
      <c r="A290" s="180" t="s">
        <v>251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0.9604469128</v>
      </c>
      <c r="E290" s="173">
        <f t="array" ref="E290">SUM(MAP(E$40:E$75, F$40:F$75, LAMBDA(e,f, MIN(e, f))))
</f>
        <v>1064.69</v>
      </c>
      <c r="F290" s="174">
        <f>F76</f>
        <v>3138.64</v>
      </c>
      <c r="G290" s="175">
        <f>IFERROR(__xludf.DUMMYFUNCTION("SUMPRODUCT(--(C40:C75&lt;&gt;""Vacant-Unrented""),--(C40:C75&lt;&gt;""Vacant-Rented""),--((N(W40:W75)&gt;N(X40:X75))+N(REGEXMATCH(LOWER(C40:C75),""evict""))&gt;0))"),1.0)</f>
        <v>1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"),0.75)</f>
        <v>0.75</v>
      </c>
      <c r="I290" s="175">
        <v>36.0</v>
      </c>
      <c r="J290" s="179" t="s">
        <v>263</v>
      </c>
    </row>
    <row r="291" ht="18.0" customHeight="1">
      <c r="A291" s="169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"),0.745)</f>
        <v>0.745</v>
      </c>
      <c r="D291" s="172">
        <f t="array" ref="D291">SUM(MAP(E79:E129, F79:F129, LAMBDA(e,f, MAX(0, e-f)))) / SUM(E79:E129)
</f>
        <v>0.8975024251</v>
      </c>
      <c r="E291" s="173">
        <f t="array" ref="E291">SUM(MAP(E$78:E$128, F$78:F$128, LAMBDA(e,f, MIN(e, f))))
</f>
        <v>3012.94</v>
      </c>
      <c r="F291" s="174">
        <f>F129</f>
        <v>5862.94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"),1.0)</f>
        <v>1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"),0.868421052631579)</f>
        <v>0.8684210526</v>
      </c>
      <c r="I291" s="175">
        <v>51.0</v>
      </c>
      <c r="J291" s="179" t="s">
        <v>265</v>
      </c>
    </row>
    <row r="292" ht="18.0" customHeight="1">
      <c r="A292" s="169" t="s">
        <v>252</v>
      </c>
      <c r="B292" s="170" t="s">
        <v>266</v>
      </c>
      <c r="C292" s="171">
        <f>IFERROR(__xludf.DUMMYFUNCTION("IF(ISNUMBER(SEARCH(""%"",C171)), VALUE(REGEXREPLACE(C171,""[^0-9.]"",""""))/100, VALUE(REGEXREPLACE(C171,""[^0-9.]"","""")))
"),0.9)</f>
        <v>0.9</v>
      </c>
      <c r="D292" s="172">
        <f t="array" ref="D292">SUM(MAP(E131:E170, F131:F170, LAMBDA(e,f, MAX(0, e-f)))) / SUM(E131:E170)
</f>
        <v>0.9329858862</v>
      </c>
      <c r="E292" s="173">
        <f t="array" ref="E292">SUM(MAP(E$131:E$170, F$131:F$170, LAMBDA(e,f, MIN(e, f))))
</f>
        <v>2224.5</v>
      </c>
      <c r="F292" s="174">
        <f>F171</f>
        <v>3251.43</v>
      </c>
      <c r="G292" s="175">
        <f>IFERROR(__xludf.DUMMYFUNCTION("SUMPRODUCT(--(C131:C170&lt;&gt;""Vacant-Unrented""),--(C131:C170&lt;&gt;""Vacant-Rented""),--((N(W131:W170)&gt;N(X131:X170))+N(REGEXMATCH(LOWER(C131:C170),""evict""))&gt;0))"),0.0)</f>
        <v>0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"),0.7222222222222222)</f>
        <v>0.7222222222</v>
      </c>
      <c r="I292" s="175">
        <v>40.0</v>
      </c>
      <c r="J292" s="179" t="s">
        <v>267</v>
      </c>
    </row>
    <row r="293" ht="18.0" customHeight="1">
      <c r="A293" s="180" t="s">
        <v>251</v>
      </c>
      <c r="B293" s="170" t="s">
        <v>268</v>
      </c>
      <c r="C293" s="171">
        <f>IFERROR(__xludf.DUMMYFUNCTION("IF(ISNUMBER(SEARCH(""%"",C195)), VALUE(REGEXREPLACE(C195,""[^0-9.]"",""""))/100, VALUE(REGEXREPLACE(C195,""[^0-9.]"","""")))
"),0.955)</f>
        <v>0.955</v>
      </c>
      <c r="D293" s="172">
        <f t="array" ref="D293">SUM(MAP(E174:E195, F174:F195, LAMBDA(e,f, MAX(0, e-f)))) / SUM(E174:E195)
</f>
        <v>1.046912405</v>
      </c>
      <c r="E293" s="173">
        <f t="array" ref="E293">SUM(MAP(E$173:E$194, F$173:F$194, LAMBDA(e,f, MIN(e, f))))
</f>
        <v>-748.98</v>
      </c>
      <c r="F293" s="174">
        <f>F195</f>
        <v>-748.98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"),0.6666666666666666)</f>
        <v>0.6666666667</v>
      </c>
      <c r="I293" s="175">
        <v>22.0</v>
      </c>
      <c r="J293" s="179" t="s">
        <v>269</v>
      </c>
    </row>
    <row r="294" ht="18.0" customHeight="1">
      <c r="A294" s="180" t="s">
        <v>251</v>
      </c>
      <c r="B294" s="170" t="s">
        <v>270</v>
      </c>
      <c r="C294" s="171">
        <f>IFERROR(__xludf.DUMMYFUNCTION("IF(ISNUMBER(SEARCH(""%"",C247)), VALUE(REGEXREPLACE(C247,""[^0-9.]"",""""))/100, VALUE(REGEXREPLACE(C247,""[^0-9.]"","""")))
"),0.86)</f>
        <v>0.86</v>
      </c>
      <c r="D294" s="172">
        <f t="array" ref="D294">SUM(MAP(E197:E246, F197:F246, LAMBDA(e,f, MAX(0, e-f)))) / SUM(E197:E246)
</f>
        <v>1.07650897</v>
      </c>
      <c r="E294" s="173">
        <f t="array" ref="E294">SUM(MAP(E$197:E$246, F$197:F$246, LAMBDA(e,f, MIN(e, f))))
</f>
        <v>-3800.3</v>
      </c>
      <c r="F294" s="174">
        <f>F247</f>
        <v>-3091.1</v>
      </c>
      <c r="G294" s="175">
        <f>IFERROR(__xludf.DUMMYFUNCTION("SUMPRODUCT(--(C197:C246&lt;&gt;""Vacant-Unrented""),--(C197:C246&lt;&gt;""Vacant-Rented""),--((N(W197:W246)&gt;N(X197:X246))+N(REGEXMATCH(LOWER(C197:C246),""evict""))&gt;0))"),0.0)</f>
        <v>0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"),0.6511627906976745)</f>
        <v>0.6511627907</v>
      </c>
      <c r="I294" s="175">
        <v>50.0</v>
      </c>
      <c r="J294" s="179" t="s">
        <v>271</v>
      </c>
    </row>
    <row r="295" ht="18.0" customHeight="1">
      <c r="A295" s="180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1.117894253</v>
      </c>
      <c r="E295" s="183">
        <f t="array" ref="E295">SUM(MAP(E$249:E$278, F$249:F$278, LAMBDA(e,f, MIN(e, f))))
</f>
        <v>-2447.86</v>
      </c>
      <c r="F295" s="184">
        <f>F279</f>
        <v>-2123.12</v>
      </c>
      <c r="G295" s="185">
        <f>IFERROR(__xludf.DUMMYFUNCTION("SUMPRODUCT(--(C249:C278&lt;&gt;""Vacant-Unrented""),--(C249:C278&lt;&gt;""Vacant-Rented""),--((N(W249:W278)&gt;N(X249:X278))+N(REGEXMATCH(LOWER(C249:C278),""evict""))&gt;0))"),1.0)</f>
        <v>1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"),0.8333333333333334)</f>
        <v>0.8333333333</v>
      </c>
      <c r="I295" s="175">
        <v>30.0</v>
      </c>
      <c r="J295" s="179" t="s">
        <v>273</v>
      </c>
    </row>
    <row r="296" ht="18.0" customHeight="1">
      <c r="A296" s="186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0)"),0.8682357414448669)</f>
        <v>0.8682357414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"),1.0016180432434443)</f>
        <v>1.001618043</v>
      </c>
      <c r="E296" s="190">
        <f t="shared" ref="E296:G296" si="7">sum(E285:E295)</f>
        <v>-331.65</v>
      </c>
      <c r="F296" s="190">
        <f t="shared" si="7"/>
        <v>7791.92</v>
      </c>
      <c r="G296" s="191">
        <f t="shared" si="7"/>
        <v>5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"),0.7581395348837209)</f>
        <v>0.7581395349</v>
      </c>
      <c r="I296" s="193"/>
      <c r="J296" s="194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63"/>
    <col customWidth="1" min="7" max="7" width="31.25"/>
    <col customWidth="1" min="8" max="8" width="111.13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28" t="s">
        <v>10</v>
      </c>
    </row>
    <row r="2" ht="18.0" customHeight="1">
      <c r="A2" s="130" t="s">
        <v>337</v>
      </c>
    </row>
    <row r="3" ht="18.0" customHeight="1">
      <c r="A3" s="130"/>
    </row>
    <row r="4" ht="18.0" customHeight="1">
      <c r="A4" s="131" t="s">
        <v>338</v>
      </c>
    </row>
    <row r="5" ht="18.0" customHeight="1">
      <c r="A5" s="131" t="s">
        <v>339</v>
      </c>
    </row>
    <row r="6" ht="18.0" customHeight="1">
      <c r="A6" s="131" t="s">
        <v>340</v>
      </c>
    </row>
    <row r="7" ht="18.0" customHeight="1">
      <c r="A7" s="131" t="s">
        <v>341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1953.75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975.0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47</v>
      </c>
      <c r="D14" s="135">
        <v>950.0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7"/>
      <c r="T14" s="137"/>
    </row>
    <row r="15" ht="18.0" customHeight="1">
      <c r="A15" s="138" t="s">
        <v>43</v>
      </c>
      <c r="B15" s="138"/>
      <c r="C15" s="138" t="s">
        <v>313</v>
      </c>
      <c r="D15" s="139">
        <v>3800.0</v>
      </c>
      <c r="E15" s="140">
        <v>2925.0</v>
      </c>
      <c r="F15" s="140">
        <v>2928.75</v>
      </c>
      <c r="G15" s="140">
        <v>0.0</v>
      </c>
      <c r="H15" s="140">
        <v>0.0</v>
      </c>
      <c r="I15" s="140">
        <v>2532.0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560.0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46443.0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950.0</v>
      </c>
      <c r="F22" s="136">
        <v>0.0</v>
      </c>
      <c r="G22" s="136">
        <v>0.0</v>
      </c>
      <c r="H22" s="136">
        <v>0.0</v>
      </c>
      <c r="I22" s="136">
        <v>925.0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25.0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3675.0</v>
      </c>
      <c r="F23" s="140">
        <v>560.0</v>
      </c>
      <c r="G23" s="140">
        <v>0.0</v>
      </c>
      <c r="H23" s="140">
        <v>0.0</v>
      </c>
      <c r="I23" s="140">
        <v>3065.0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50.0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47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725.0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178</v>
      </c>
      <c r="D28" s="135">
        <v>621.0</v>
      </c>
      <c r="E28" s="136">
        <v>725.0</v>
      </c>
      <c r="F28" s="136">
        <v>2425.0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46431.0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3150.0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850.0</v>
      </c>
      <c r="F32" s="136">
        <v>792.35</v>
      </c>
      <c r="G32" s="136">
        <v>0.0</v>
      </c>
      <c r="H32" s="136">
        <v>0.0</v>
      </c>
      <c r="I32" s="136">
        <v>850.0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671.01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1500.0</v>
      </c>
      <c r="F34" s="140">
        <v>1463.36</v>
      </c>
      <c r="G34" s="140">
        <v>0.0</v>
      </c>
      <c r="H34" s="140">
        <v>0.0</v>
      </c>
      <c r="I34" s="140">
        <v>1500.0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1200.0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1200.0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1025.0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46356.0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850.0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46400.0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46023.0</v>
      </c>
      <c r="T44" s="137">
        <v>46568.0</v>
      </c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2251.25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46568.0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45954.0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1025.0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46355.0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850.0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900.0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850.0</v>
      </c>
      <c r="F54" s="136">
        <v>0.0</v>
      </c>
      <c r="G54" s="136">
        <v>0.0</v>
      </c>
      <c r="H54" s="136">
        <v>0.0</v>
      </c>
      <c r="I54" s="136">
        <v>850.0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46387.0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850.0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46081.0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800.0</v>
      </c>
      <c r="F58" s="136">
        <v>0.0</v>
      </c>
      <c r="G58" s="136">
        <v>0.0</v>
      </c>
      <c r="H58" s="136">
        <v>0.0</v>
      </c>
      <c r="I58" s="136">
        <v>800.0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46387.0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1025.0</v>
      </c>
      <c r="F60" s="136">
        <v>1427.88</v>
      </c>
      <c r="G60" s="136">
        <v>0.0</v>
      </c>
      <c r="H60" s="136">
        <v>0.0</v>
      </c>
      <c r="I60" s="136">
        <v>0.0</v>
      </c>
      <c r="J60" s="136">
        <v>0.0</v>
      </c>
      <c r="K60" s="136">
        <v>0.0</v>
      </c>
      <c r="L60" s="136">
        <v>1025.0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1094.5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178</v>
      </c>
      <c r="D65" s="135">
        <v>700.0</v>
      </c>
      <c r="E65" s="136">
        <v>825.0</v>
      </c>
      <c r="F65" s="136">
        <v>3102.5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800.0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950.0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46442.0</v>
      </c>
    </row>
    <row r="68" ht="18.0" customHeight="1">
      <c r="A68" s="134" t="s">
        <v>91</v>
      </c>
      <c r="B68" s="134" t="s">
        <v>38</v>
      </c>
      <c r="C68" s="134" t="s">
        <v>39</v>
      </c>
      <c r="D68" s="135">
        <v>950.0</v>
      </c>
      <c r="E68" s="136">
        <v>800.0</v>
      </c>
      <c r="F68" s="136">
        <v>800.0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1867.32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800.0</v>
      </c>
      <c r="F70" s="136">
        <v>0.0</v>
      </c>
      <c r="G70" s="136">
        <v>0.0</v>
      </c>
      <c r="H70" s="136">
        <v>0.0</v>
      </c>
      <c r="I70" s="136">
        <v>800.0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1025.0</v>
      </c>
      <c r="F72" s="136">
        <v>866.19</v>
      </c>
      <c r="G72" s="136">
        <v>0.0</v>
      </c>
      <c r="H72" s="136">
        <v>0.0</v>
      </c>
      <c r="I72" s="136">
        <v>83.0</v>
      </c>
      <c r="J72" s="136">
        <v>0.0</v>
      </c>
      <c r="K72" s="136">
        <v>0.0</v>
      </c>
      <c r="L72" s="136">
        <v>942.0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950.0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46094.0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29035.0</v>
      </c>
      <c r="F76" s="140">
        <v>19609.64</v>
      </c>
      <c r="G76" s="140">
        <v>0.0</v>
      </c>
      <c r="H76" s="140">
        <v>0.0</v>
      </c>
      <c r="I76" s="140">
        <v>27003.0</v>
      </c>
      <c r="J76" s="140">
        <v>0.0</v>
      </c>
      <c r="K76" s="140">
        <v>0.0</v>
      </c>
      <c r="L76" s="140">
        <v>1967.0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900.0</v>
      </c>
      <c r="F78" s="136">
        <v>900.0</v>
      </c>
      <c r="G78" s="136">
        <v>0.0</v>
      </c>
      <c r="H78" s="136">
        <v>0.0</v>
      </c>
      <c r="I78" s="136">
        <v>0.0</v>
      </c>
      <c r="J78" s="136">
        <v>0.0</v>
      </c>
      <c r="K78" s="136">
        <v>0.0</v>
      </c>
      <c r="L78" s="136">
        <v>900.0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39</v>
      </c>
      <c r="D79" s="135">
        <v>1400.0</v>
      </c>
      <c r="E79" s="136">
        <v>1350.0</v>
      </c>
      <c r="F79" s="136">
        <v>427.42</v>
      </c>
      <c r="G79" s="136">
        <v>0.0</v>
      </c>
      <c r="H79" s="136">
        <v>0.0</v>
      </c>
      <c r="I79" s="136">
        <v>1350.0</v>
      </c>
      <c r="J79" s="136">
        <v>0.0</v>
      </c>
      <c r="K79" s="136">
        <v>0.0</v>
      </c>
      <c r="L79" s="136">
        <v>0.0</v>
      </c>
      <c r="M79" s="136">
        <v>0.0</v>
      </c>
      <c r="N79" s="136">
        <v>0.0</v>
      </c>
      <c r="O79" s="136">
        <v>0.0</v>
      </c>
      <c r="P79" s="136">
        <v>0.0</v>
      </c>
      <c r="Q79" s="136">
        <v>0.0</v>
      </c>
      <c r="R79" s="136">
        <v>0.0</v>
      </c>
      <c r="S79" s="137">
        <v>46004.0</v>
      </c>
      <c r="T79" s="137">
        <v>46356.0</v>
      </c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39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46173.0</v>
      </c>
    </row>
    <row r="82" ht="18.0" customHeight="1">
      <c r="A82" s="134" t="s">
        <v>108</v>
      </c>
      <c r="B82" s="134" t="s">
        <v>104</v>
      </c>
      <c r="C82" s="134" t="s">
        <v>47</v>
      </c>
      <c r="D82" s="135">
        <v>1400.0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7"/>
      <c r="T82" s="137"/>
    </row>
    <row r="83" ht="18.0" customHeight="1">
      <c r="A83" s="134" t="s">
        <v>109</v>
      </c>
      <c r="B83" s="134" t="s">
        <v>38</v>
      </c>
      <c r="C83" s="134" t="s">
        <v>39</v>
      </c>
      <c r="D83" s="135">
        <v>1400.0</v>
      </c>
      <c r="E83" s="136">
        <v>1099.0</v>
      </c>
      <c r="F83" s="136">
        <v>0.0</v>
      </c>
      <c r="G83" s="136">
        <v>0.0</v>
      </c>
      <c r="H83" s="136">
        <v>0.0</v>
      </c>
      <c r="I83" s="136">
        <v>1099.0</v>
      </c>
      <c r="J83" s="136">
        <v>0.0</v>
      </c>
      <c r="K83" s="136">
        <v>0.0</v>
      </c>
      <c r="L83" s="136">
        <v>0.0</v>
      </c>
      <c r="M83" s="136">
        <v>0.0</v>
      </c>
      <c r="N83" s="136">
        <v>0.0</v>
      </c>
      <c r="O83" s="136">
        <v>0.0</v>
      </c>
      <c r="P83" s="136">
        <v>0.0</v>
      </c>
      <c r="Q83" s="136">
        <v>0.0</v>
      </c>
      <c r="R83" s="136">
        <v>0.0</v>
      </c>
      <c r="S83" s="137">
        <v>45992.0</v>
      </c>
      <c r="T83" s="137">
        <v>46356.0</v>
      </c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824.99</v>
      </c>
      <c r="G84" s="136">
        <v>0.0</v>
      </c>
      <c r="H84" s="136">
        <v>0.0</v>
      </c>
      <c r="I84" s="136">
        <v>65.0</v>
      </c>
      <c r="J84" s="136">
        <v>0.0</v>
      </c>
      <c r="K84" s="136">
        <v>0.0</v>
      </c>
      <c r="L84" s="136">
        <v>835.0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39</v>
      </c>
      <c r="D86" s="135">
        <v>1400.0</v>
      </c>
      <c r="E86" s="136">
        <v>1099.0</v>
      </c>
      <c r="F86" s="136">
        <v>496.32</v>
      </c>
      <c r="G86" s="136">
        <v>0.0</v>
      </c>
      <c r="H86" s="136">
        <v>0.0</v>
      </c>
      <c r="I86" s="136">
        <v>1099.0</v>
      </c>
      <c r="J86" s="136">
        <v>0.0</v>
      </c>
      <c r="K86" s="136">
        <v>0.0</v>
      </c>
      <c r="L86" s="136">
        <v>0.0</v>
      </c>
      <c r="M86" s="136">
        <v>0.0</v>
      </c>
      <c r="N86" s="136">
        <v>0.0</v>
      </c>
      <c r="O86" s="136">
        <v>0.0</v>
      </c>
      <c r="P86" s="136">
        <v>0.0</v>
      </c>
      <c r="Q86" s="136">
        <v>0.0</v>
      </c>
      <c r="R86" s="136">
        <v>0.0</v>
      </c>
      <c r="S86" s="137">
        <v>46002.0</v>
      </c>
      <c r="T86" s="137">
        <v>46356.0</v>
      </c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1000.0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2591.2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47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107</v>
      </c>
      <c r="D93" s="135">
        <v>1400.0</v>
      </c>
      <c r="E93" s="136">
        <v>1150.0</v>
      </c>
      <c r="F93" s="136">
        <v>1185.0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1200.0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941.0</v>
      </c>
      <c r="G95" s="136">
        <v>0.0</v>
      </c>
      <c r="H95" s="136">
        <v>0.0</v>
      </c>
      <c r="I95" s="136">
        <v>371.0</v>
      </c>
      <c r="J95" s="136">
        <v>0.0</v>
      </c>
      <c r="K95" s="136">
        <v>0.0</v>
      </c>
      <c r="L95" s="136">
        <v>529.0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104</v>
      </c>
      <c r="C96" s="134" t="s">
        <v>39</v>
      </c>
      <c r="D96" s="135">
        <v>1400.0</v>
      </c>
      <c r="E96" s="136">
        <v>1365.0</v>
      </c>
      <c r="F96" s="136">
        <v>0.0</v>
      </c>
      <c r="G96" s="136">
        <v>0.0</v>
      </c>
      <c r="H96" s="136">
        <v>0.0</v>
      </c>
      <c r="I96" s="136">
        <v>1350.0</v>
      </c>
      <c r="J96" s="136">
        <v>0.0</v>
      </c>
      <c r="K96" s="136">
        <v>0.0</v>
      </c>
      <c r="L96" s="136">
        <v>0.0</v>
      </c>
      <c r="M96" s="136">
        <v>0.0</v>
      </c>
      <c r="N96" s="136">
        <v>0.0</v>
      </c>
      <c r="O96" s="136">
        <v>0.0</v>
      </c>
      <c r="P96" s="136">
        <v>0.0</v>
      </c>
      <c r="Q96" s="136">
        <v>0.0</v>
      </c>
      <c r="R96" s="136">
        <v>15.0</v>
      </c>
      <c r="S96" s="137">
        <v>46006.0</v>
      </c>
      <c r="T96" s="137">
        <v>46356.0</v>
      </c>
    </row>
    <row r="97" ht="18.0" customHeight="1">
      <c r="A97" s="134" t="s">
        <v>124</v>
      </c>
      <c r="B97" s="134" t="s">
        <v>115</v>
      </c>
      <c r="C97" s="134" t="s">
        <v>178</v>
      </c>
      <c r="D97" s="135">
        <v>1400.0</v>
      </c>
      <c r="E97" s="136">
        <v>1300.0</v>
      </c>
      <c r="F97" s="136">
        <v>5450.0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0.0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1417.5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>
        <v>46356.0</v>
      </c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1350.0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0.0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297</v>
      </c>
      <c r="D108" s="135">
        <v>1400.0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7"/>
      <c r="T108" s="137"/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297</v>
      </c>
      <c r="D113" s="135">
        <v>1400.0</v>
      </c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7"/>
      <c r="T113" s="137"/>
    </row>
    <row r="114" ht="18.0" customHeight="1">
      <c r="A114" s="134" t="s">
        <v>141</v>
      </c>
      <c r="B114" s="134" t="s">
        <v>38</v>
      </c>
      <c r="C114" s="134" t="s">
        <v>47</v>
      </c>
      <c r="D114" s="135">
        <v>1400.0</v>
      </c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7"/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1100.0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45992.0</v>
      </c>
      <c r="T115" s="137">
        <v>46356.0</v>
      </c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742.0</v>
      </c>
      <c r="G116" s="136">
        <v>0.0</v>
      </c>
      <c r="H116" s="136">
        <v>0.0</v>
      </c>
      <c r="I116" s="136">
        <v>125.0</v>
      </c>
      <c r="J116" s="136">
        <v>0.0</v>
      </c>
      <c r="K116" s="136">
        <v>0.0</v>
      </c>
      <c r="L116" s="136">
        <v>850.0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45992.0</v>
      </c>
      <c r="T116" s="137">
        <v>46356.0</v>
      </c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1016.0</v>
      </c>
      <c r="G118" s="136">
        <v>0.0</v>
      </c>
      <c r="H118" s="136">
        <v>0.0</v>
      </c>
      <c r="I118" s="136">
        <v>334.0</v>
      </c>
      <c r="J118" s="136">
        <v>0.0</v>
      </c>
      <c r="K118" s="136">
        <v>0.0</v>
      </c>
      <c r="L118" s="136">
        <v>1016.0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391.08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990.0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1000.0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1619.75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350.0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1400.0</v>
      </c>
      <c r="F125" s="136">
        <v>714.0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50.0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1417.5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47</v>
      </c>
      <c r="D128" s="135">
        <v>1400.0</v>
      </c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7"/>
      <c r="T128" s="137"/>
    </row>
    <row r="129" ht="18.0" customHeight="1">
      <c r="A129" s="138" t="s">
        <v>156</v>
      </c>
      <c r="B129" s="138"/>
      <c r="C129" s="138" t="s">
        <v>304</v>
      </c>
      <c r="D129" s="139">
        <v>71400.0</v>
      </c>
      <c r="E129" s="140">
        <v>43198.0</v>
      </c>
      <c r="F129" s="140">
        <v>27123.76</v>
      </c>
      <c r="G129" s="140">
        <v>0.0</v>
      </c>
      <c r="H129" s="140">
        <v>0.0</v>
      </c>
      <c r="I129" s="140">
        <v>36263.0</v>
      </c>
      <c r="J129" s="140">
        <v>0.0</v>
      </c>
      <c r="K129" s="140">
        <v>0.0</v>
      </c>
      <c r="L129" s="140">
        <v>6870.0</v>
      </c>
      <c r="M129" s="140">
        <v>0.0</v>
      </c>
      <c r="N129" s="140">
        <v>0.0</v>
      </c>
      <c r="O129" s="140">
        <v>50.0</v>
      </c>
      <c r="P129" s="140">
        <v>0.0</v>
      </c>
      <c r="Q129" s="140">
        <v>0.0</v>
      </c>
      <c r="R129" s="140">
        <v>15.0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630.0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900.0</v>
      </c>
      <c r="G132" s="136">
        <v>900.0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731.0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385.0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486.0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723.0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297</v>
      </c>
      <c r="D138" s="135">
        <v>800.0</v>
      </c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7"/>
      <c r="T138" s="137"/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1050.0</v>
      </c>
      <c r="F139" s="136">
        <v>1210.0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1000.0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>
        <v>46203.0</v>
      </c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1000.0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1225.0</v>
      </c>
      <c r="F141" s="136">
        <v>1225.0</v>
      </c>
      <c r="G141" s="136">
        <v>0.0</v>
      </c>
      <c r="H141" s="136">
        <v>50.0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1280.0</v>
      </c>
      <c r="F143" s="136">
        <v>1200.0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1200.0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>
        <v>46387.0</v>
      </c>
    </row>
    <row r="144" ht="18.0" customHeight="1">
      <c r="A144" s="134" t="s">
        <v>173</v>
      </c>
      <c r="B144" s="134" t="s">
        <v>168</v>
      </c>
      <c r="C144" s="134" t="s">
        <v>39</v>
      </c>
      <c r="D144" s="135">
        <v>1000.0</v>
      </c>
      <c r="E144" s="136">
        <v>1125.0</v>
      </c>
      <c r="F144" s="136">
        <v>979.84</v>
      </c>
      <c r="G144" s="136">
        <v>0.0</v>
      </c>
      <c r="H144" s="136">
        <v>0.0</v>
      </c>
      <c r="I144" s="136">
        <v>1125.0</v>
      </c>
      <c r="J144" s="136">
        <v>0.0</v>
      </c>
      <c r="K144" s="136">
        <v>0.0</v>
      </c>
      <c r="L144" s="136">
        <v>0.0</v>
      </c>
      <c r="M144" s="136">
        <v>0.0</v>
      </c>
      <c r="N144" s="136">
        <v>0.0</v>
      </c>
      <c r="O144" s="136">
        <v>0.0</v>
      </c>
      <c r="P144" s="136">
        <v>0.0</v>
      </c>
      <c r="Q144" s="136">
        <v>0.0</v>
      </c>
      <c r="R144" s="136">
        <v>0.0</v>
      </c>
      <c r="S144" s="137">
        <v>45996.0</v>
      </c>
      <c r="T144" s="137">
        <v>46356.0</v>
      </c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1321.0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46568.0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838.0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0.0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950.0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886.0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900.0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>
        <v>46356.0</v>
      </c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1000.0</v>
      </c>
      <c r="F153" s="136">
        <v>534.0</v>
      </c>
      <c r="G153" s="136">
        <v>0.0</v>
      </c>
      <c r="H153" s="136">
        <v>0.0</v>
      </c>
      <c r="I153" s="136">
        <v>255.0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>
        <v>46387.0</v>
      </c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2619.93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586.0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950.0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>
        <v>46418.0</v>
      </c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851.0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>
        <v>46326.0</v>
      </c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813.0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39</v>
      </c>
      <c r="D159" s="135">
        <v>850.0</v>
      </c>
      <c r="E159" s="136">
        <v>980.0</v>
      </c>
      <c r="F159" s="136">
        <v>0.0</v>
      </c>
      <c r="G159" s="136">
        <v>0.0</v>
      </c>
      <c r="H159" s="136">
        <v>0.0</v>
      </c>
      <c r="I159" s="136">
        <v>965.0</v>
      </c>
      <c r="J159" s="136">
        <v>0.0</v>
      </c>
      <c r="K159" s="136">
        <v>0.0</v>
      </c>
      <c r="L159" s="136">
        <v>0.0</v>
      </c>
      <c r="M159" s="136">
        <v>0.0</v>
      </c>
      <c r="N159" s="136">
        <v>0.0</v>
      </c>
      <c r="O159" s="136">
        <v>0.0</v>
      </c>
      <c r="P159" s="136">
        <v>0.0</v>
      </c>
      <c r="Q159" s="136">
        <v>0.0</v>
      </c>
      <c r="R159" s="136">
        <v>15.0</v>
      </c>
      <c r="S159" s="137">
        <v>46023.0</v>
      </c>
      <c r="T159" s="137">
        <v>46387.0</v>
      </c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838.0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>
        <v>46326.0</v>
      </c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910.0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>
        <v>46387.0</v>
      </c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669.0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687.0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886.0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886.0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39</v>
      </c>
      <c r="D166" s="135">
        <v>850.0</v>
      </c>
      <c r="E166" s="136">
        <v>1000.0</v>
      </c>
      <c r="F166" s="136">
        <v>2200.0</v>
      </c>
      <c r="G166" s="136">
        <v>0.0</v>
      </c>
      <c r="H166" s="136">
        <v>0.0</v>
      </c>
      <c r="I166" s="136">
        <v>1000.0</v>
      </c>
      <c r="J166" s="136">
        <v>0.0</v>
      </c>
      <c r="K166" s="136">
        <v>0.0</v>
      </c>
      <c r="L166" s="136">
        <v>0.0</v>
      </c>
      <c r="M166" s="136">
        <v>0.0</v>
      </c>
      <c r="N166" s="136">
        <v>0.0</v>
      </c>
      <c r="O166" s="136">
        <v>0.0</v>
      </c>
      <c r="P166" s="136">
        <v>0.0</v>
      </c>
      <c r="Q166" s="136">
        <v>0.0</v>
      </c>
      <c r="R166" s="136">
        <v>0.0</v>
      </c>
      <c r="S166" s="137">
        <v>45786.0</v>
      </c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1000.0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46387.0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813.0</v>
      </c>
      <c r="F168" s="136">
        <v>869.0</v>
      </c>
      <c r="G168" s="136">
        <v>0.0</v>
      </c>
      <c r="H168" s="136">
        <v>0.0</v>
      </c>
      <c r="I168" s="136">
        <v>334.0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479.0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46387.0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925.0</v>
      </c>
      <c r="F169" s="136">
        <v>0.0</v>
      </c>
      <c r="G169" s="136">
        <v>0.0</v>
      </c>
      <c r="H169" s="136">
        <v>0.0</v>
      </c>
      <c r="I169" s="136">
        <v>925.0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>
        <v>46387.0</v>
      </c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342</v>
      </c>
      <c r="D171" s="139">
        <v>34800.0</v>
      </c>
      <c r="E171" s="140">
        <v>34219.5</v>
      </c>
      <c r="F171" s="140">
        <v>29663.77</v>
      </c>
      <c r="G171" s="140">
        <v>900.0</v>
      </c>
      <c r="H171" s="140">
        <v>180.0</v>
      </c>
      <c r="I171" s="140">
        <v>17328.0</v>
      </c>
      <c r="J171" s="140">
        <v>0.0</v>
      </c>
      <c r="K171" s="140">
        <v>4541.0</v>
      </c>
      <c r="L171" s="140">
        <v>0.0</v>
      </c>
      <c r="M171" s="140">
        <v>1958.0</v>
      </c>
      <c r="N171" s="140">
        <v>9162.0</v>
      </c>
      <c r="O171" s="140">
        <v>125.0</v>
      </c>
      <c r="P171" s="140">
        <v>0.0</v>
      </c>
      <c r="Q171" s="140">
        <v>0.0</v>
      </c>
      <c r="R171" s="140">
        <v>25.5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1057.5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100.0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102.0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800.0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1595.0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1087.0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800.0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850.0</v>
      </c>
      <c r="F190" s="136">
        <v>508.52</v>
      </c>
      <c r="G190" s="136">
        <v>0.0</v>
      </c>
      <c r="H190" s="136">
        <v>0.0</v>
      </c>
      <c r="I190" s="136">
        <v>238.0</v>
      </c>
      <c r="J190" s="136">
        <v>0.0</v>
      </c>
      <c r="K190" s="136">
        <v>0.0</v>
      </c>
      <c r="L190" s="136">
        <v>612.0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39</v>
      </c>
      <c r="D192" s="135">
        <v>825.0</v>
      </c>
      <c r="E192" s="136">
        <v>925.0</v>
      </c>
      <c r="F192" s="136">
        <v>0.0</v>
      </c>
      <c r="G192" s="136">
        <v>0.0</v>
      </c>
      <c r="H192" s="136">
        <v>0.0</v>
      </c>
      <c r="I192" s="136">
        <v>925.0</v>
      </c>
      <c r="J192" s="136">
        <v>0.0</v>
      </c>
      <c r="K192" s="136">
        <v>0.0</v>
      </c>
      <c r="L192" s="136">
        <v>0.0</v>
      </c>
      <c r="M192" s="136">
        <v>0.0</v>
      </c>
      <c r="N192" s="136">
        <v>0.0</v>
      </c>
      <c r="O192" s="136">
        <v>0.0</v>
      </c>
      <c r="P192" s="136">
        <v>0.0</v>
      </c>
      <c r="Q192" s="136">
        <v>0.0</v>
      </c>
      <c r="R192" s="136">
        <v>0.0</v>
      </c>
      <c r="S192" s="137">
        <v>46022.0</v>
      </c>
      <c r="T192" s="137">
        <v>46356.0</v>
      </c>
    </row>
    <row r="193" ht="18.0" customHeight="1">
      <c r="A193" s="134" t="s">
        <v>224</v>
      </c>
      <c r="B193" s="134" t="s">
        <v>56</v>
      </c>
      <c r="C193" s="134" t="s">
        <v>39</v>
      </c>
      <c r="D193" s="135">
        <v>750.0</v>
      </c>
      <c r="E193" s="136">
        <v>840.0</v>
      </c>
      <c r="F193" s="136">
        <v>840.0</v>
      </c>
      <c r="G193" s="136">
        <v>0.0</v>
      </c>
      <c r="H193" s="136">
        <v>0.0</v>
      </c>
      <c r="I193" s="136">
        <v>800.0</v>
      </c>
      <c r="J193" s="136">
        <v>0.0</v>
      </c>
      <c r="K193" s="136">
        <v>0.0</v>
      </c>
      <c r="L193" s="136">
        <v>0.0</v>
      </c>
      <c r="M193" s="136">
        <v>0.0</v>
      </c>
      <c r="N193" s="136">
        <v>0.0</v>
      </c>
      <c r="O193" s="136">
        <v>25.0</v>
      </c>
      <c r="P193" s="136">
        <v>0.0</v>
      </c>
      <c r="Q193" s="136">
        <v>0.0</v>
      </c>
      <c r="R193" s="136">
        <v>15.0</v>
      </c>
      <c r="S193" s="137">
        <v>45987.0</v>
      </c>
      <c r="T193" s="137">
        <v>46326.0</v>
      </c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800.0</v>
      </c>
      <c r="F194" s="136">
        <v>25.0</v>
      </c>
      <c r="G194" s="136">
        <v>0.0</v>
      </c>
      <c r="H194" s="136">
        <v>0.0</v>
      </c>
      <c r="I194" s="136">
        <v>800.0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>
        <v>46568.0</v>
      </c>
    </row>
    <row r="195" ht="18.0" customHeight="1">
      <c r="A195" s="138" t="s">
        <v>226</v>
      </c>
      <c r="B195" s="138"/>
      <c r="C195" s="138" t="s">
        <v>44</v>
      </c>
      <c r="D195" s="139">
        <v>17550.0</v>
      </c>
      <c r="E195" s="140">
        <v>18050.0</v>
      </c>
      <c r="F195" s="140">
        <v>6915.02</v>
      </c>
      <c r="G195" s="140">
        <v>0.0</v>
      </c>
      <c r="H195" s="140">
        <v>0.0</v>
      </c>
      <c r="I195" s="140">
        <v>17398.0</v>
      </c>
      <c r="J195" s="140">
        <v>0.0</v>
      </c>
      <c r="K195" s="140">
        <v>0.0</v>
      </c>
      <c r="L195" s="140">
        <v>612.0</v>
      </c>
      <c r="M195" s="140">
        <v>0.0</v>
      </c>
      <c r="N195" s="140">
        <v>0.0</v>
      </c>
      <c r="O195" s="140">
        <v>25.0</v>
      </c>
      <c r="P195" s="140">
        <v>0.0</v>
      </c>
      <c r="Q195" s="140">
        <v>0.0</v>
      </c>
      <c r="R195" s="140">
        <v>15.0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1471.0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903.0</v>
      </c>
      <c r="G199" s="136">
        <v>0.0</v>
      </c>
      <c r="H199" s="136">
        <v>225.0</v>
      </c>
      <c r="I199" s="136">
        <v>122.0</v>
      </c>
      <c r="J199" s="136">
        <v>0.0</v>
      </c>
      <c r="K199" s="136">
        <v>0.0</v>
      </c>
      <c r="L199" s="136">
        <v>903.0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1175.0</v>
      </c>
      <c r="F200" s="136">
        <v>1175.0</v>
      </c>
      <c r="G200" s="136">
        <v>0.0</v>
      </c>
      <c r="H200" s="136">
        <v>225.0</v>
      </c>
      <c r="I200" s="136">
        <v>950.0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326.0</v>
      </c>
      <c r="G202" s="136">
        <v>0.0</v>
      </c>
      <c r="H202" s="136">
        <v>225.0</v>
      </c>
      <c r="I202" s="136">
        <v>144.0</v>
      </c>
      <c r="J202" s="136">
        <v>0.0</v>
      </c>
      <c r="K202" s="136">
        <v>0.0</v>
      </c>
      <c r="L202" s="136">
        <v>881.0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2207.51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1220.0</v>
      </c>
      <c r="F207" s="136">
        <v>1200.74</v>
      </c>
      <c r="G207" s="136">
        <v>0.0</v>
      </c>
      <c r="H207" s="136">
        <v>225.0</v>
      </c>
      <c r="I207" s="136">
        <v>199.0</v>
      </c>
      <c r="J207" s="136">
        <v>0.0</v>
      </c>
      <c r="K207" s="136">
        <v>0.0</v>
      </c>
      <c r="L207" s="136">
        <v>796.0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1183.75</v>
      </c>
      <c r="G208" s="136">
        <v>0.0</v>
      </c>
      <c r="H208" s="136">
        <v>225.0</v>
      </c>
      <c r="I208" s="136">
        <v>222.0</v>
      </c>
      <c r="J208" s="136">
        <v>0.0</v>
      </c>
      <c r="K208" s="136">
        <v>0.0</v>
      </c>
      <c r="L208" s="136">
        <v>803.0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1250.0</v>
      </c>
      <c r="F211" s="136">
        <v>514.0</v>
      </c>
      <c r="G211" s="136">
        <v>0.0</v>
      </c>
      <c r="H211" s="136">
        <v>225.0</v>
      </c>
      <c r="I211" s="136">
        <v>508.0</v>
      </c>
      <c r="J211" s="136">
        <v>0.0</v>
      </c>
      <c r="K211" s="136">
        <v>0.0</v>
      </c>
      <c r="L211" s="136">
        <v>517.0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1525.25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1075.0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1300.0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520.0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46568.0</v>
      </c>
    </row>
    <row r="217" ht="18.0" customHeight="1">
      <c r="A217" s="134" t="s">
        <v>84</v>
      </c>
      <c r="B217" s="134" t="s">
        <v>38</v>
      </c>
      <c r="C217" s="134" t="s">
        <v>47</v>
      </c>
      <c r="D217" s="135">
        <v>825.0</v>
      </c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7"/>
      <c r="T217" s="137"/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1200.0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1300.0</v>
      </c>
      <c r="G222" s="136">
        <v>0.0</v>
      </c>
      <c r="H222" s="136">
        <v>225.0</v>
      </c>
      <c r="I222" s="136">
        <v>408.0</v>
      </c>
      <c r="J222" s="136">
        <v>0.0</v>
      </c>
      <c r="K222" s="136">
        <v>0.0</v>
      </c>
      <c r="L222" s="136">
        <v>667.0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46081.0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1250.0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1225.0</v>
      </c>
      <c r="F225" s="136">
        <v>1625.0</v>
      </c>
      <c r="G225" s="136">
        <v>0.0</v>
      </c>
      <c r="H225" s="136">
        <v>225.0</v>
      </c>
      <c r="I225" s="136">
        <v>1000.0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>
        <v>46387.0</v>
      </c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1175.0</v>
      </c>
      <c r="F226" s="136">
        <v>0.0</v>
      </c>
      <c r="G226" s="136">
        <v>0.0</v>
      </c>
      <c r="H226" s="136">
        <v>225.0</v>
      </c>
      <c r="I226" s="136">
        <v>950.0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46387.0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1125.0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-20.0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46446.0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1250.0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2259.5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1722.0</v>
      </c>
      <c r="G233" s="136">
        <v>0.0</v>
      </c>
      <c r="H233" s="136">
        <v>225.0</v>
      </c>
      <c r="I233" s="136">
        <v>448.0</v>
      </c>
      <c r="J233" s="136">
        <v>0.0</v>
      </c>
      <c r="K233" s="136">
        <v>0.0</v>
      </c>
      <c r="L233" s="136">
        <v>577.0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1518.7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47</v>
      </c>
      <c r="D236" s="135">
        <v>825.0</v>
      </c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7"/>
      <c r="T236" s="137"/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870.0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39</v>
      </c>
      <c r="D238" s="135">
        <v>825.0</v>
      </c>
      <c r="E238" s="136">
        <v>1250.0</v>
      </c>
      <c r="F238" s="136">
        <v>2185.65</v>
      </c>
      <c r="G238" s="136">
        <v>0.0</v>
      </c>
      <c r="H238" s="136">
        <v>225.0</v>
      </c>
      <c r="I238" s="136">
        <v>1025.0</v>
      </c>
      <c r="J238" s="136">
        <v>0.0</v>
      </c>
      <c r="K238" s="136">
        <v>0.0</v>
      </c>
      <c r="L238" s="136">
        <v>0.0</v>
      </c>
      <c r="M238" s="136">
        <v>0.0</v>
      </c>
      <c r="N238" s="136">
        <v>0.0</v>
      </c>
      <c r="O238" s="136">
        <v>0.0</v>
      </c>
      <c r="P238" s="136">
        <v>0.0</v>
      </c>
      <c r="Q238" s="136">
        <v>0.0</v>
      </c>
      <c r="R238" s="136">
        <v>0.0</v>
      </c>
      <c r="S238" s="137">
        <v>45139.0</v>
      </c>
      <c r="T238" s="137">
        <v>45987.0</v>
      </c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-1677.0</v>
      </c>
      <c r="G239" s="136">
        <v>0.0</v>
      </c>
      <c r="H239" s="136">
        <v>125.0</v>
      </c>
      <c r="I239" s="136">
        <v>186.0</v>
      </c>
      <c r="J239" s="136">
        <v>0.0</v>
      </c>
      <c r="K239" s="136">
        <v>0.0</v>
      </c>
      <c r="L239" s="136">
        <v>687.0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1250.0</v>
      </c>
      <c r="F240" s="136">
        <v>3209.2</v>
      </c>
      <c r="G240" s="136">
        <v>0.0</v>
      </c>
      <c r="H240" s="136">
        <v>225.0</v>
      </c>
      <c r="I240" s="136">
        <v>99.0</v>
      </c>
      <c r="J240" s="136">
        <v>0.0</v>
      </c>
      <c r="K240" s="136">
        <v>0.0</v>
      </c>
      <c r="L240" s="136">
        <v>926.0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>
        <v>46302.0</v>
      </c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1250.0</v>
      </c>
      <c r="G241" s="136">
        <v>0.0</v>
      </c>
      <c r="H241" s="136">
        <v>225.0</v>
      </c>
      <c r="I241" s="136">
        <v>275.0</v>
      </c>
      <c r="J241" s="136">
        <v>0.0</v>
      </c>
      <c r="K241" s="136">
        <v>0.0</v>
      </c>
      <c r="L241" s="136">
        <v>750.0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748.9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1275.0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>
        <v>46387.0</v>
      </c>
    </row>
    <row r="247" ht="18.0" customHeight="1">
      <c r="A247" s="138" t="s">
        <v>244</v>
      </c>
      <c r="B247" s="138"/>
      <c r="C247" s="138" t="s">
        <v>336</v>
      </c>
      <c r="D247" s="139">
        <v>40350.0</v>
      </c>
      <c r="E247" s="140">
        <v>51009.3</v>
      </c>
      <c r="F247" s="140">
        <v>34338.2</v>
      </c>
      <c r="G247" s="140">
        <v>0.0</v>
      </c>
      <c r="H247" s="140">
        <v>8645.8</v>
      </c>
      <c r="I247" s="140">
        <v>33106.5</v>
      </c>
      <c r="J247" s="140">
        <v>0.0</v>
      </c>
      <c r="K247" s="140">
        <v>0.0</v>
      </c>
      <c r="L247" s="140">
        <v>9167.0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700.0</v>
      </c>
      <c r="F249" s="136">
        <v>1277.42</v>
      </c>
      <c r="G249" s="136">
        <v>0.0</v>
      </c>
      <c r="H249" s="136">
        <v>0.0</v>
      </c>
      <c r="I249" s="136">
        <v>215.0</v>
      </c>
      <c r="J249" s="136">
        <v>485.0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0.0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46081.0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0.0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402.0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46477.0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28.99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0.0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0.0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0.0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46477.0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696.92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0.0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0.0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743.03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350.99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178</v>
      </c>
      <c r="D262" s="135">
        <v>675.0</v>
      </c>
      <c r="E262" s="136">
        <v>775.0</v>
      </c>
      <c r="F262" s="136">
        <v>1833.39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700.0</v>
      </c>
      <c r="F263" s="136">
        <v>1099.6</v>
      </c>
      <c r="G263" s="136">
        <v>0.0</v>
      </c>
      <c r="H263" s="136">
        <v>0.0</v>
      </c>
      <c r="I263" s="136">
        <v>700.0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>
        <v>46356.0</v>
      </c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0.0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46447.0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642.16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749.99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0.0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46403.0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700.0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46418.0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675.0</v>
      </c>
      <c r="F269" s="136">
        <v>-71.01</v>
      </c>
      <c r="G269" s="136">
        <v>0.0</v>
      </c>
      <c r="H269" s="136">
        <v>0.0</v>
      </c>
      <c r="I269" s="136">
        <v>675.0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0.0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694.0</v>
      </c>
      <c r="G271" s="136">
        <v>0.0</v>
      </c>
      <c r="H271" s="136">
        <v>0.0</v>
      </c>
      <c r="I271" s="136">
        <v>56.0</v>
      </c>
      <c r="J271" s="136">
        <v>694.0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46029.0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0.0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46326.0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0.0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887.17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0.0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750.0</v>
      </c>
      <c r="F276" s="136">
        <v>778.99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0.0</v>
      </c>
      <c r="S276" s="137">
        <v>44742.0</v>
      </c>
      <c r="T276" s="137">
        <v>46203.0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598.0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1611.35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46294.0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22200.0</v>
      </c>
      <c r="F279" s="140">
        <v>13022.99</v>
      </c>
      <c r="G279" s="140">
        <v>0.0</v>
      </c>
      <c r="H279" s="140">
        <v>0.0</v>
      </c>
      <c r="I279" s="140">
        <v>18919.0</v>
      </c>
      <c r="J279" s="140">
        <v>3231.0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0.0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320</v>
      </c>
      <c r="D281" s="139">
        <v>229909.0</v>
      </c>
      <c r="E281" s="140">
        <v>211136.8</v>
      </c>
      <c r="F281" s="140">
        <v>139975.49</v>
      </c>
      <c r="G281" s="140">
        <v>900.0</v>
      </c>
      <c r="H281" s="140">
        <v>8825.8</v>
      </c>
      <c r="I281" s="140">
        <v>162439.5</v>
      </c>
      <c r="J281" s="140">
        <v>4159.0</v>
      </c>
      <c r="K281" s="140">
        <v>4541.0</v>
      </c>
      <c r="L281" s="140">
        <v>18616.0</v>
      </c>
      <c r="M281" s="140">
        <v>1958.0</v>
      </c>
      <c r="N281" s="140">
        <v>9162.0</v>
      </c>
      <c r="O281" s="140">
        <v>425.0</v>
      </c>
      <c r="P281" s="140">
        <v>25.0</v>
      </c>
      <c r="Q281" s="140">
        <v>15.0</v>
      </c>
      <c r="R281" s="140">
        <v>70.5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0.9184081633</v>
      </c>
      <c r="D282" s="145">
        <f t="shared" ref="D282:D284" si="2">IFERROR(
  SUMPRODUCT((A$285:A$295=A282)*D$285:D$295*I$285:I$295) /
  SUMPRODUCT((A$285:A$295=A282)*I$285:I$295),
0)</f>
        <v>0.5062296191</v>
      </c>
      <c r="E282" s="146">
        <f t="shared" ref="E282:E284" si="3">IFERROR(
  SUMPRODUCT((A$285:A$295=A282)*E$285:E$295),
0)
</f>
        <v>16537.42</v>
      </c>
      <c r="F282" s="147">
        <f t="shared" ref="F282:F284" si="4">IFERROR(
  SUMPRODUCT((A$285:A$295=A282)*F$285:F$295),
0)
</f>
        <v>22325.1</v>
      </c>
      <c r="G282" s="148">
        <f t="shared" ref="G282:G284" si="5">IFERROR(
  SUMPRODUCT((A$285:A$295=A282)*G$285:G$295),
0)
</f>
        <v>3</v>
      </c>
      <c r="H282" s="149">
        <f t="shared" ref="H282:H284" si="6">IFERROR(
  SUMPRODUCT((A$285:A$295=A282)*H$285:H$295*I$285:I$295) /
  SUMPRODUCT((A$285:A$295=A282)*I$285:I$295),
0)</f>
        <v>0.8418367347</v>
      </c>
    </row>
    <row r="283" ht="18.0" customHeight="1">
      <c r="A283" s="152" t="s">
        <v>251</v>
      </c>
      <c r="B283" s="153"/>
      <c r="C283" s="154">
        <f t="shared" si="1"/>
        <v>0.8426352201</v>
      </c>
      <c r="D283" s="155">
        <f t="shared" si="2"/>
        <v>0.4879395588</v>
      </c>
      <c r="E283" s="156">
        <f t="shared" si="3"/>
        <v>69067.91</v>
      </c>
      <c r="F283" s="157">
        <f t="shared" si="4"/>
        <v>87986.62</v>
      </c>
      <c r="G283" s="158">
        <f t="shared" si="5"/>
        <v>2</v>
      </c>
      <c r="H283" s="149">
        <f t="shared" si="6"/>
        <v>0.762310797</v>
      </c>
    </row>
    <row r="284" ht="18.0" customHeight="1">
      <c r="A284" s="160" t="s">
        <v>252</v>
      </c>
      <c r="B284" s="161"/>
      <c r="C284" s="162">
        <f t="shared" si="1"/>
        <v>0.925</v>
      </c>
      <c r="D284" s="163">
        <f t="shared" si="2"/>
        <v>0.237179386</v>
      </c>
      <c r="E284" s="164">
        <f t="shared" si="3"/>
        <v>26103.34</v>
      </c>
      <c r="F284" s="165">
        <f t="shared" si="4"/>
        <v>29663.77</v>
      </c>
      <c r="G284" s="166">
        <f t="shared" si="5"/>
        <v>0</v>
      </c>
      <c r="H284" s="149">
        <f t="shared" si="6"/>
        <v>0.7297297297</v>
      </c>
    </row>
    <row r="285" ht="18.0" customHeight="1">
      <c r="A285" s="169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"),0.75)</f>
        <v>0.75</v>
      </c>
      <c r="D285" s="172">
        <f t="array" ref="D285">SUM(MAP(E11:E14, F11:F14, LAMBDA(e,f, MAX(0, e-f)))) / SUM(E11:E14)
</f>
        <v>0.3675213675</v>
      </c>
      <c r="E285" s="173">
        <f t="array" ref="E285">SUM(MAP(E$11:E$14, F$11:F$14, LAMBDA(e,f, MIN(e, f))))
</f>
        <v>1850</v>
      </c>
      <c r="F285" s="174">
        <f>F15</f>
        <v>2928.75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"),1.0)</f>
        <v>1</v>
      </c>
      <c r="I285" s="175">
        <v>4.0</v>
      </c>
      <c r="J285" s="177">
        <v>46340.0</v>
      </c>
    </row>
    <row r="286" ht="18.0" customHeight="1">
      <c r="A286" s="169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0.8476190476</v>
      </c>
      <c r="E286" s="173">
        <f t="array" ref="E286">SUM(MAP(E$17:E$22, F$17:F$22, LAMBDA(e,f, MIN(e, f))))
</f>
        <v>560</v>
      </c>
      <c r="F286" s="174">
        <f>F23</f>
        <v>560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"),0.75)</f>
        <v>0.75</v>
      </c>
      <c r="I286" s="175">
        <v>6.0</v>
      </c>
      <c r="J286" s="179" t="s">
        <v>255</v>
      </c>
    </row>
    <row r="287" ht="18.0" customHeight="1">
      <c r="A287" s="169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"),0.8)</f>
        <v>0.8</v>
      </c>
      <c r="D287" s="172">
        <f t="array" ref="D287">SUM(MAP(E25:E29, F25:F29, LAMBDA(e, f, MAX(0, e - f)))) / SUM(E25:E29)</f>
        <v>0.5042735043</v>
      </c>
      <c r="E287" s="173">
        <f t="array" ref="E287">SUM(MAP(E$25:E$29, F$25:F$29, LAMBDA(e,f, MIN(e, f))))
</f>
        <v>1450</v>
      </c>
      <c r="F287" s="174">
        <f>F30</f>
        <v>3150</v>
      </c>
      <c r="G287" s="175">
        <f>IFERROR(__xludf.DUMMYFUNCTION("SUMPRODUCT(--(C25:C29&lt;&gt;""Vacant-Unrented""),--(C25:C29&lt;&gt;""Vacant-Rented""),--((N(W25:W29)&gt;N(X25:X29))+N(REGEXMATCH(LOWER(C25:C29),""evict""))&gt;0))"),1.0)</f>
        <v>1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"),0.75)</f>
        <v>0.75</v>
      </c>
      <c r="I287" s="175">
        <v>5.0</v>
      </c>
      <c r="J287" s="179" t="s">
        <v>257</v>
      </c>
    </row>
    <row r="288" ht="18.0" customHeight="1">
      <c r="A288" s="169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0.03843333333</v>
      </c>
      <c r="E288" s="173">
        <f t="array" ref="E288">SUM(MAP(E$32:E$33, F$32:F$33, LAMBDA(e,f, MIN(e, f))))
</f>
        <v>1442.35</v>
      </c>
      <c r="F288" s="174">
        <f>F34</f>
        <v>1463.36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  <c r="J288" s="179" t="s">
        <v>259</v>
      </c>
    </row>
    <row r="289" ht="18.0" customHeight="1">
      <c r="A289" s="169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0.5</v>
      </c>
      <c r="E289" s="173">
        <f t="array" ref="E289">SUM(MAP(E$36:E$37, F$36:F$37, LAMBDA(e,f, MIN(e, f))))
</f>
        <v>1200</v>
      </c>
      <c r="F289" s="174">
        <f>F38</f>
        <v>1200</v>
      </c>
      <c r="G289" s="175">
        <f>IFERROR(__xludf.DUMMYFUNCTION("SUMPRODUCT(--(C40:C75&lt;&gt;""Vacant-Unrented""),--(C40:C75&lt;&gt;""Vacant-Rented""),--((N(W40:W75)&gt;N(X40:X75))+N(REGEXMATCH(LOWER(C40:C75),""evict""))&gt;0))"),1.0)</f>
        <v>1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  <c r="J289" s="179" t="s">
        <v>261</v>
      </c>
    </row>
    <row r="290" ht="18.0" customHeight="1">
      <c r="A290" s="180" t="s">
        <v>251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0.4950511452</v>
      </c>
      <c r="E290" s="173">
        <f t="array" ref="E290">SUM(MAP(E$40:E$75, F$40:F$75, LAMBDA(e,f, MIN(e, f))))
</f>
        <v>14661.19</v>
      </c>
      <c r="F290" s="174">
        <f>F76</f>
        <v>19609.64</v>
      </c>
      <c r="G290" s="175">
        <f>IFERROR(__xludf.DUMMYFUNCTION("SUMPRODUCT(--(C40:C75&lt;&gt;""Vacant-Unrented""),--(C40:C75&lt;&gt;""Vacant-Rented""),--((N(W40:W75)&gt;N(X40:X75))+N(REGEXMATCH(LOWER(C40:C75),""evict""))&gt;0))"),1.0)</f>
        <v>1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"),0.75)</f>
        <v>0.75</v>
      </c>
      <c r="I290" s="175">
        <v>36.0</v>
      </c>
      <c r="J290" s="179" t="s">
        <v>263</v>
      </c>
    </row>
    <row r="291" ht="18.0" customHeight="1">
      <c r="A291" s="169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"),0.725)</f>
        <v>0.725</v>
      </c>
      <c r="D291" s="172">
        <f t="array" ref="D291">SUM(MAP(E79:E129, F79:F129, LAMBDA(e,f, MAX(0, e-f)))) / SUM(E79:E129)
</f>
        <v>0.4459323243</v>
      </c>
      <c r="E291" s="173">
        <f t="array" ref="E291">SUM(MAP(E$78:E$128, F$78:F$128, LAMBDA(e,f, MIN(e, f))))
</f>
        <v>21146.81</v>
      </c>
      <c r="F291" s="174">
        <f>F129</f>
        <v>27123.76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"),1.0)</f>
        <v>1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"),0.8918918918918919)</f>
        <v>0.8918918919</v>
      </c>
      <c r="I291" s="175">
        <v>51.0</v>
      </c>
      <c r="J291" s="179" t="s">
        <v>265</v>
      </c>
    </row>
    <row r="292" ht="18.0" customHeight="1">
      <c r="A292" s="169" t="s">
        <v>252</v>
      </c>
      <c r="B292" s="170" t="s">
        <v>266</v>
      </c>
      <c r="C292" s="171">
        <f>IFERROR(__xludf.DUMMYFUNCTION("IF(ISNUMBER(SEARCH(""%"",C171)), VALUE(REGEXREPLACE(C171,""[^0-9.]"",""""))/100, VALUE(REGEXREPLACE(C171,""[^0-9.]"","""")))
"),0.925)</f>
        <v>0.925</v>
      </c>
      <c r="D292" s="172">
        <f t="array" ref="D292">SUM(MAP(E131:E170, F131:F170, LAMBDA(e,f, MAX(0, e-f)))) / SUM(E131:E170)
</f>
        <v>0.237179386</v>
      </c>
      <c r="E292" s="173">
        <f t="array" ref="E292">SUM(MAP(E$131:E$170, F$131:F$170, LAMBDA(e,f, MIN(e, f))))
</f>
        <v>26103.34</v>
      </c>
      <c r="F292" s="174">
        <f>F171</f>
        <v>29663.77</v>
      </c>
      <c r="G292" s="175">
        <f>IFERROR(__xludf.DUMMYFUNCTION("SUMPRODUCT(--(C131:C170&lt;&gt;""Vacant-Unrented""),--(C131:C170&lt;&gt;""Vacant-Rented""),--((N(W131:W170)&gt;N(X131:X170))+N(REGEXMATCH(LOWER(C131:C170),""evict""))&gt;0))"),0.0)</f>
        <v>0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"),0.7297297297297297)</f>
        <v>0.7297297297</v>
      </c>
      <c r="I292" s="175">
        <v>40.0</v>
      </c>
      <c r="J292" s="179" t="s">
        <v>267</v>
      </c>
    </row>
    <row r="293" ht="18.0" customHeight="1">
      <c r="A293" s="180" t="s">
        <v>251</v>
      </c>
      <c r="B293" s="170" t="s">
        <v>268</v>
      </c>
      <c r="C293" s="171">
        <f>IFERROR(__xludf.DUMMYFUNCTION("IF(ISNUMBER(SEARCH(""%"",C195)), VALUE(REGEXREPLACE(C195,""[^0-9.]"",""""))/100, VALUE(REGEXREPLACE(C195,""[^0-9.]"","""")))
"),1.0)</f>
        <v>1</v>
      </c>
      <c r="D293" s="172">
        <f t="array" ref="D293">SUM(MAP(E174:E195, F174:F195, LAMBDA(e,f, MAX(0, e-f)))) / SUM(E174:E195)
</f>
        <v>0.6456191426</v>
      </c>
      <c r="E293" s="173">
        <f t="array" ref="E293">SUM(MAP(E$173:E$194, F$173:F$194, LAMBDA(e,f, MIN(e, f))))
</f>
        <v>5525.52</v>
      </c>
      <c r="F293" s="174">
        <f>F195</f>
        <v>6915.02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"),0.6818181818181818)</f>
        <v>0.6818181818</v>
      </c>
      <c r="I293" s="175">
        <v>22.0</v>
      </c>
      <c r="J293" s="179" t="s">
        <v>269</v>
      </c>
    </row>
    <row r="294" ht="18.0" customHeight="1">
      <c r="A294" s="180" t="s">
        <v>251</v>
      </c>
      <c r="B294" s="170" t="s">
        <v>270</v>
      </c>
      <c r="C294" s="171">
        <f>IFERROR(__xludf.DUMMYFUNCTION("IF(ISNUMBER(SEARCH(""%"",C247)), VALUE(REGEXREPLACE(C247,""[^0-9.]"",""""))/100, VALUE(REGEXREPLACE(C247,""[^0-9.]"","""")))
"),0.86)</f>
        <v>0.86</v>
      </c>
      <c r="D294" s="172">
        <f t="array" ref="D294">SUM(MAP(E197:E246, F197:F246, LAMBDA(e,f, MAX(0, e-f)))) / SUM(E197:E246)
</f>
        <v>0.4562875789</v>
      </c>
      <c r="E294" s="173">
        <f t="array" ref="E294">SUM(MAP(E$197:E$246, F$197:F$246, LAMBDA(e,f, MIN(e, f))))
</f>
        <v>27734.39</v>
      </c>
      <c r="F294" s="174">
        <f>F247</f>
        <v>34338.2</v>
      </c>
      <c r="G294" s="175">
        <f>IFERROR(__xludf.DUMMYFUNCTION("SUMPRODUCT(--(C197:C246&lt;&gt;""Vacant-Unrented""),--(C197:C246&lt;&gt;""Vacant-Rented""),--((N(W197:W246)&gt;N(X197:X246))+N(REGEXMATCH(LOWER(C197:C246),""evict""))&gt;0))"),0.0)</f>
        <v>0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"),0.6744186046511628)</f>
        <v>0.6744186047</v>
      </c>
      <c r="I294" s="175">
        <v>50.0</v>
      </c>
      <c r="J294" s="179" t="s">
        <v>271</v>
      </c>
    </row>
    <row r="295" ht="18.0" customHeight="1">
      <c r="A295" s="180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0.488373913</v>
      </c>
      <c r="E295" s="183">
        <f t="array" ref="E295">SUM(MAP(E$249:E$278, F$249:F$278, LAMBDA(e,f, MIN(e, f))))
</f>
        <v>10035.07</v>
      </c>
      <c r="F295" s="184">
        <f>F279</f>
        <v>13022.99</v>
      </c>
      <c r="G295" s="185">
        <f>IFERROR(__xludf.DUMMYFUNCTION("SUMPRODUCT(--(C249:C278&lt;&gt;""Vacant-Unrented""),--(C249:C278&lt;&gt;""Vacant-Rented""),--((N(W249:W278)&gt;N(X249:X278))+N(REGEXMATCH(LOWER(C249:C278),""evict""))&gt;0))"),1.0)</f>
        <v>1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"),0.8333333333333334)</f>
        <v>0.8333333333</v>
      </c>
      <c r="I295" s="175">
        <v>30.0</v>
      </c>
      <c r="J295" s="179" t="s">
        <v>273</v>
      </c>
    </row>
    <row r="296" ht="18.0" customHeight="1">
      <c r="A296" s="186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0)"),0.8719239543726236)</f>
        <v>0.8719239544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"),0.4709180493405223)</f>
        <v>0.4709180493</v>
      </c>
      <c r="E296" s="190">
        <f t="shared" ref="E296:G296" si="7">sum(E285:E295)</f>
        <v>111708.67</v>
      </c>
      <c r="F296" s="190">
        <f t="shared" si="7"/>
        <v>139975.49</v>
      </c>
      <c r="G296" s="191">
        <f t="shared" si="7"/>
        <v>5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"),0.7685185185185185)</f>
        <v>0.7685185185</v>
      </c>
      <c r="I296" s="193"/>
      <c r="J296" s="194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5"/>
    <col customWidth="1" min="7" max="7" width="31.25"/>
    <col customWidth="1" min="8" max="8" width="111.13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28" t="s">
        <v>10</v>
      </c>
    </row>
    <row r="2" ht="18.0" customHeight="1">
      <c r="A2" s="130" t="s">
        <v>343</v>
      </c>
    </row>
    <row r="3" ht="18.0" customHeight="1">
      <c r="A3" s="130"/>
    </row>
    <row r="4" ht="18.0" customHeight="1">
      <c r="A4" s="131" t="s">
        <v>344</v>
      </c>
    </row>
    <row r="5" ht="18.0" customHeight="1">
      <c r="A5" s="131" t="s">
        <v>345</v>
      </c>
    </row>
    <row r="6" ht="18.0" customHeight="1">
      <c r="A6" s="131" t="s">
        <v>346</v>
      </c>
    </row>
    <row r="7" ht="18.0" customHeight="1">
      <c r="A7" s="131" t="s">
        <v>347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1157.5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0.0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47</v>
      </c>
      <c r="D14" s="135">
        <v>950.0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7"/>
      <c r="T14" s="137"/>
    </row>
    <row r="15" ht="18.0" customHeight="1">
      <c r="A15" s="138" t="s">
        <v>43</v>
      </c>
      <c r="B15" s="138"/>
      <c r="C15" s="138" t="s">
        <v>313</v>
      </c>
      <c r="D15" s="139">
        <v>3800.0</v>
      </c>
      <c r="E15" s="140">
        <v>2925.0</v>
      </c>
      <c r="F15" s="140">
        <v>1157.5</v>
      </c>
      <c r="G15" s="140">
        <v>0.0</v>
      </c>
      <c r="H15" s="140">
        <v>0.0</v>
      </c>
      <c r="I15" s="140">
        <v>2532.0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46443.0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950.0</v>
      </c>
      <c r="F22" s="136">
        <v>0.0</v>
      </c>
      <c r="G22" s="136">
        <v>0.0</v>
      </c>
      <c r="H22" s="136">
        <v>0.0</v>
      </c>
      <c r="I22" s="136">
        <v>925.0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25.0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3675.0</v>
      </c>
      <c r="F23" s="140">
        <v>0.0</v>
      </c>
      <c r="G23" s="140">
        <v>0.0</v>
      </c>
      <c r="H23" s="140">
        <v>0.0</v>
      </c>
      <c r="I23" s="140">
        <v>3065.0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50.0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47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178</v>
      </c>
      <c r="D28" s="135">
        <v>621.0</v>
      </c>
      <c r="E28" s="136">
        <v>725.0</v>
      </c>
      <c r="F28" s="136">
        <v>2461.25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46431.0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2461.25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850.0</v>
      </c>
      <c r="F32" s="136">
        <v>43.95</v>
      </c>
      <c r="G32" s="136">
        <v>0.0</v>
      </c>
      <c r="H32" s="136">
        <v>0.0</v>
      </c>
      <c r="I32" s="136">
        <v>850.0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53.51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1500.0</v>
      </c>
      <c r="F34" s="140">
        <v>97.46</v>
      </c>
      <c r="G34" s="140">
        <v>0.0</v>
      </c>
      <c r="H34" s="140">
        <v>0.0</v>
      </c>
      <c r="I34" s="140">
        <v>1500.0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1076.25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46356.0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46400.0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46023.0</v>
      </c>
      <c r="T44" s="137">
        <v>46568.0</v>
      </c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2302.5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46568.0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45954.0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1076.25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46355.0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945.0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850.0</v>
      </c>
      <c r="F54" s="136">
        <v>0.0</v>
      </c>
      <c r="G54" s="136">
        <v>0.0</v>
      </c>
      <c r="H54" s="136">
        <v>0.0</v>
      </c>
      <c r="I54" s="136">
        <v>850.0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46387.0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892.5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46081.0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800.0</v>
      </c>
      <c r="F58" s="136">
        <v>0.0</v>
      </c>
      <c r="G58" s="136">
        <v>0.0</v>
      </c>
      <c r="H58" s="136">
        <v>0.0</v>
      </c>
      <c r="I58" s="136">
        <v>800.0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46387.0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1025.0</v>
      </c>
      <c r="F60" s="136">
        <v>402.88</v>
      </c>
      <c r="G60" s="136">
        <v>0.0</v>
      </c>
      <c r="H60" s="136">
        <v>0.0</v>
      </c>
      <c r="I60" s="136">
        <v>0.0</v>
      </c>
      <c r="J60" s="136">
        <v>0.0</v>
      </c>
      <c r="K60" s="136">
        <v>0.0</v>
      </c>
      <c r="L60" s="136">
        <v>1025.0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104.48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178</v>
      </c>
      <c r="D65" s="135">
        <v>700.0</v>
      </c>
      <c r="E65" s="136">
        <v>825.0</v>
      </c>
      <c r="F65" s="136">
        <v>3143.75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840.0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46442.0</v>
      </c>
    </row>
    <row r="68" ht="18.0" customHeight="1">
      <c r="A68" s="134" t="s">
        <v>91</v>
      </c>
      <c r="B68" s="134" t="s">
        <v>38</v>
      </c>
      <c r="C68" s="134" t="s">
        <v>107</v>
      </c>
      <c r="D68" s="135">
        <v>950.0</v>
      </c>
      <c r="E68" s="136">
        <v>800.0</v>
      </c>
      <c r="F68" s="136">
        <v>840.0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1913.57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800.0</v>
      </c>
      <c r="F70" s="136">
        <v>0.0</v>
      </c>
      <c r="G70" s="136">
        <v>0.0</v>
      </c>
      <c r="H70" s="136">
        <v>0.0</v>
      </c>
      <c r="I70" s="136">
        <v>800.0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1025.0</v>
      </c>
      <c r="F72" s="136">
        <v>-75.81</v>
      </c>
      <c r="G72" s="136">
        <v>0.0</v>
      </c>
      <c r="H72" s="136">
        <v>0.0</v>
      </c>
      <c r="I72" s="136">
        <v>83.0</v>
      </c>
      <c r="J72" s="136">
        <v>0.0</v>
      </c>
      <c r="K72" s="136">
        <v>0.0</v>
      </c>
      <c r="L72" s="136">
        <v>942.0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997.5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46094.0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29035.0</v>
      </c>
      <c r="F76" s="140">
        <v>14458.87</v>
      </c>
      <c r="G76" s="140">
        <v>0.0</v>
      </c>
      <c r="H76" s="140">
        <v>0.0</v>
      </c>
      <c r="I76" s="140">
        <v>27003.0</v>
      </c>
      <c r="J76" s="140">
        <v>0.0</v>
      </c>
      <c r="K76" s="140">
        <v>0.0</v>
      </c>
      <c r="L76" s="140">
        <v>1967.0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900.0</v>
      </c>
      <c r="F78" s="136">
        <v>0.0</v>
      </c>
      <c r="G78" s="136">
        <v>0.0</v>
      </c>
      <c r="H78" s="136">
        <v>0.0</v>
      </c>
      <c r="I78" s="136">
        <v>0.0</v>
      </c>
      <c r="J78" s="136">
        <v>0.0</v>
      </c>
      <c r="K78" s="136">
        <v>0.0</v>
      </c>
      <c r="L78" s="136">
        <v>900.0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39</v>
      </c>
      <c r="D79" s="135">
        <v>1400.0</v>
      </c>
      <c r="E79" s="136">
        <v>1350.0</v>
      </c>
      <c r="F79" s="136">
        <v>0.0</v>
      </c>
      <c r="G79" s="136">
        <v>0.0</v>
      </c>
      <c r="H79" s="136">
        <v>0.0</v>
      </c>
      <c r="I79" s="136">
        <v>1350.0</v>
      </c>
      <c r="J79" s="136">
        <v>0.0</v>
      </c>
      <c r="K79" s="136">
        <v>0.0</v>
      </c>
      <c r="L79" s="136">
        <v>0.0</v>
      </c>
      <c r="M79" s="136">
        <v>0.0</v>
      </c>
      <c r="N79" s="136">
        <v>0.0</v>
      </c>
      <c r="O79" s="136">
        <v>0.0</v>
      </c>
      <c r="P79" s="136">
        <v>0.0</v>
      </c>
      <c r="Q79" s="136">
        <v>0.0</v>
      </c>
      <c r="R79" s="136">
        <v>0.0</v>
      </c>
      <c r="S79" s="137">
        <v>46004.0</v>
      </c>
      <c r="T79" s="137">
        <v>46356.0</v>
      </c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39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46173.0</v>
      </c>
    </row>
    <row r="82" ht="18.0" customHeight="1">
      <c r="A82" s="134" t="s">
        <v>108</v>
      </c>
      <c r="B82" s="134" t="s">
        <v>104</v>
      </c>
      <c r="C82" s="134" t="s">
        <v>47</v>
      </c>
      <c r="D82" s="135">
        <v>1400.0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7"/>
      <c r="T82" s="137"/>
    </row>
    <row r="83" ht="18.0" customHeight="1">
      <c r="A83" s="134" t="s">
        <v>109</v>
      </c>
      <c r="B83" s="134" t="s">
        <v>38</v>
      </c>
      <c r="C83" s="134" t="s">
        <v>39</v>
      </c>
      <c r="D83" s="135">
        <v>1400.0</v>
      </c>
      <c r="E83" s="136">
        <v>1099.0</v>
      </c>
      <c r="F83" s="136">
        <v>0.0</v>
      </c>
      <c r="G83" s="136">
        <v>0.0</v>
      </c>
      <c r="H83" s="136">
        <v>0.0</v>
      </c>
      <c r="I83" s="136">
        <v>1099.0</v>
      </c>
      <c r="J83" s="136">
        <v>0.0</v>
      </c>
      <c r="K83" s="136">
        <v>0.0</v>
      </c>
      <c r="L83" s="136">
        <v>0.0</v>
      </c>
      <c r="M83" s="136">
        <v>0.0</v>
      </c>
      <c r="N83" s="136">
        <v>0.0</v>
      </c>
      <c r="O83" s="136">
        <v>0.0</v>
      </c>
      <c r="P83" s="136">
        <v>0.0</v>
      </c>
      <c r="Q83" s="136">
        <v>0.0</v>
      </c>
      <c r="R83" s="136">
        <v>0.0</v>
      </c>
      <c r="S83" s="137">
        <v>45992.0</v>
      </c>
      <c r="T83" s="137">
        <v>46356.0</v>
      </c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-10.01</v>
      </c>
      <c r="G84" s="136">
        <v>0.0</v>
      </c>
      <c r="H84" s="136">
        <v>0.0</v>
      </c>
      <c r="I84" s="136">
        <v>65.0</v>
      </c>
      <c r="J84" s="136">
        <v>0.0</v>
      </c>
      <c r="K84" s="136">
        <v>0.0</v>
      </c>
      <c r="L84" s="136">
        <v>835.0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39</v>
      </c>
      <c r="D86" s="135">
        <v>1400.0</v>
      </c>
      <c r="E86" s="136">
        <v>1099.0</v>
      </c>
      <c r="F86" s="136">
        <v>521.14</v>
      </c>
      <c r="G86" s="136">
        <v>0.0</v>
      </c>
      <c r="H86" s="136">
        <v>0.0</v>
      </c>
      <c r="I86" s="136">
        <v>1099.0</v>
      </c>
      <c r="J86" s="136">
        <v>0.0</v>
      </c>
      <c r="K86" s="136">
        <v>0.0</v>
      </c>
      <c r="L86" s="136">
        <v>0.0</v>
      </c>
      <c r="M86" s="136">
        <v>0.0</v>
      </c>
      <c r="N86" s="136">
        <v>0.0</v>
      </c>
      <c r="O86" s="136">
        <v>0.0</v>
      </c>
      <c r="P86" s="136">
        <v>0.0</v>
      </c>
      <c r="Q86" s="136">
        <v>0.0</v>
      </c>
      <c r="R86" s="136">
        <v>0.0</v>
      </c>
      <c r="S86" s="137">
        <v>46002.0</v>
      </c>
      <c r="T86" s="137">
        <v>46356.0</v>
      </c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1045.0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1596.4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47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107</v>
      </c>
      <c r="D93" s="135">
        <v>1400.0</v>
      </c>
      <c r="E93" s="136">
        <v>1150.0</v>
      </c>
      <c r="F93" s="136">
        <v>35.0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1260.0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413.05</v>
      </c>
      <c r="G95" s="136">
        <v>0.0</v>
      </c>
      <c r="H95" s="136">
        <v>0.0</v>
      </c>
      <c r="I95" s="136">
        <v>371.0</v>
      </c>
      <c r="J95" s="136">
        <v>0.0</v>
      </c>
      <c r="K95" s="136">
        <v>0.0</v>
      </c>
      <c r="L95" s="136">
        <v>529.0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104</v>
      </c>
      <c r="C96" s="134" t="s">
        <v>39</v>
      </c>
      <c r="D96" s="135">
        <v>1400.0</v>
      </c>
      <c r="E96" s="136">
        <v>1365.0</v>
      </c>
      <c r="F96" s="136">
        <v>0.0</v>
      </c>
      <c r="G96" s="136">
        <v>0.0</v>
      </c>
      <c r="H96" s="136">
        <v>0.0</v>
      </c>
      <c r="I96" s="136">
        <v>1350.0</v>
      </c>
      <c r="J96" s="136">
        <v>0.0</v>
      </c>
      <c r="K96" s="136">
        <v>0.0</v>
      </c>
      <c r="L96" s="136">
        <v>0.0</v>
      </c>
      <c r="M96" s="136">
        <v>0.0</v>
      </c>
      <c r="N96" s="136">
        <v>0.0</v>
      </c>
      <c r="O96" s="136">
        <v>0.0</v>
      </c>
      <c r="P96" s="136">
        <v>0.0</v>
      </c>
      <c r="Q96" s="136">
        <v>0.0</v>
      </c>
      <c r="R96" s="136">
        <v>15.0</v>
      </c>
      <c r="S96" s="137">
        <v>46006.0</v>
      </c>
      <c r="T96" s="137">
        <v>46356.0</v>
      </c>
    </row>
    <row r="97" ht="18.0" customHeight="1">
      <c r="A97" s="134" t="s">
        <v>124</v>
      </c>
      <c r="B97" s="134" t="s">
        <v>115</v>
      </c>
      <c r="C97" s="134" t="s">
        <v>178</v>
      </c>
      <c r="D97" s="135">
        <v>1400.0</v>
      </c>
      <c r="E97" s="136">
        <v>1300.0</v>
      </c>
      <c r="F97" s="136">
        <v>5515.0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0.0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1485.0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>
        <v>46356.0</v>
      </c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1417.5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0.0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297</v>
      </c>
      <c r="D108" s="135">
        <v>1400.0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7"/>
      <c r="T108" s="137"/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297</v>
      </c>
      <c r="D113" s="135">
        <v>1400.0</v>
      </c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7"/>
      <c r="T113" s="137"/>
    </row>
    <row r="114" ht="18.0" customHeight="1">
      <c r="A114" s="134" t="s">
        <v>141</v>
      </c>
      <c r="B114" s="134" t="s">
        <v>38</v>
      </c>
      <c r="C114" s="134" t="s">
        <v>47</v>
      </c>
      <c r="D114" s="135">
        <v>1400.0</v>
      </c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7"/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1155.0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45992.0</v>
      </c>
      <c r="T115" s="137">
        <v>46356.0</v>
      </c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-108.0</v>
      </c>
      <c r="G116" s="136">
        <v>0.0</v>
      </c>
      <c r="H116" s="136">
        <v>0.0</v>
      </c>
      <c r="I116" s="136">
        <v>125.0</v>
      </c>
      <c r="J116" s="136">
        <v>0.0</v>
      </c>
      <c r="K116" s="136">
        <v>0.0</v>
      </c>
      <c r="L116" s="136">
        <v>850.0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45992.0</v>
      </c>
      <c r="T116" s="137">
        <v>46356.0</v>
      </c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0.0</v>
      </c>
      <c r="G118" s="136">
        <v>0.0</v>
      </c>
      <c r="H118" s="136">
        <v>0.0</v>
      </c>
      <c r="I118" s="136">
        <v>334.0</v>
      </c>
      <c r="J118" s="136">
        <v>0.0</v>
      </c>
      <c r="K118" s="136">
        <v>0.0</v>
      </c>
      <c r="L118" s="136">
        <v>1016.0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391.08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1039.5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1050.0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1689.5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1400.0</v>
      </c>
      <c r="F125" s="136">
        <v>0.0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50.0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37.5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47</v>
      </c>
      <c r="D128" s="135">
        <v>1400.0</v>
      </c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7"/>
      <c r="T128" s="137"/>
    </row>
    <row r="129" ht="18.0" customHeight="1">
      <c r="A129" s="138" t="s">
        <v>156</v>
      </c>
      <c r="B129" s="138"/>
      <c r="C129" s="138" t="s">
        <v>304</v>
      </c>
      <c r="D129" s="139">
        <v>71400.0</v>
      </c>
      <c r="E129" s="140">
        <v>43198.0</v>
      </c>
      <c r="F129" s="140">
        <v>18532.66</v>
      </c>
      <c r="G129" s="140">
        <v>0.0</v>
      </c>
      <c r="H129" s="140">
        <v>0.0</v>
      </c>
      <c r="I129" s="140">
        <v>36263.0</v>
      </c>
      <c r="J129" s="140">
        <v>0.0</v>
      </c>
      <c r="K129" s="140">
        <v>0.0</v>
      </c>
      <c r="L129" s="140">
        <v>6870.0</v>
      </c>
      <c r="M129" s="140">
        <v>0.0</v>
      </c>
      <c r="N129" s="140">
        <v>0.0</v>
      </c>
      <c r="O129" s="140">
        <v>50.0</v>
      </c>
      <c r="P129" s="140">
        <v>0.0</v>
      </c>
      <c r="Q129" s="140">
        <v>0.0</v>
      </c>
      <c r="R129" s="140">
        <v>15.0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636.1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900.0</v>
      </c>
      <c r="G132" s="136">
        <v>900.0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752.6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385.0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-143.0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723.0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297</v>
      </c>
      <c r="D138" s="135">
        <v>800.0</v>
      </c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7"/>
      <c r="T138" s="137"/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1050.0</v>
      </c>
      <c r="F139" s="136">
        <v>1210.0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1000.0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>
        <v>46203.0</v>
      </c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174.45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1225.0</v>
      </c>
      <c r="F141" s="136">
        <v>1282.5</v>
      </c>
      <c r="G141" s="136">
        <v>0.0</v>
      </c>
      <c r="H141" s="136">
        <v>50.0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1280.0</v>
      </c>
      <c r="F143" s="136">
        <v>50.0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1200.0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>
        <v>46387.0</v>
      </c>
    </row>
    <row r="144" ht="18.0" customHeight="1">
      <c r="A144" s="134" t="s">
        <v>173</v>
      </c>
      <c r="B144" s="134" t="s">
        <v>168</v>
      </c>
      <c r="C144" s="134" t="s">
        <v>39</v>
      </c>
      <c r="D144" s="135">
        <v>1000.0</v>
      </c>
      <c r="E144" s="136">
        <v>1125.0</v>
      </c>
      <c r="F144" s="136">
        <v>0.0</v>
      </c>
      <c r="G144" s="136">
        <v>0.0</v>
      </c>
      <c r="H144" s="136">
        <v>0.0</v>
      </c>
      <c r="I144" s="136">
        <v>1125.0</v>
      </c>
      <c r="J144" s="136">
        <v>0.0</v>
      </c>
      <c r="K144" s="136">
        <v>0.0</v>
      </c>
      <c r="L144" s="136">
        <v>0.0</v>
      </c>
      <c r="M144" s="136">
        <v>0.0</v>
      </c>
      <c r="N144" s="136">
        <v>0.0</v>
      </c>
      <c r="O144" s="136">
        <v>0.0</v>
      </c>
      <c r="P144" s="136">
        <v>0.0</v>
      </c>
      <c r="Q144" s="136">
        <v>0.0</v>
      </c>
      <c r="R144" s="136">
        <v>0.0</v>
      </c>
      <c r="S144" s="137">
        <v>45996.0</v>
      </c>
      <c r="T144" s="137">
        <v>46356.0</v>
      </c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421.0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46568.0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860.15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0.0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886.0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945.0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>
        <v>46356.0</v>
      </c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1000.0</v>
      </c>
      <c r="F153" s="136">
        <v>-211.0</v>
      </c>
      <c r="G153" s="136">
        <v>0.0</v>
      </c>
      <c r="H153" s="136">
        <v>0.0</v>
      </c>
      <c r="I153" s="136">
        <v>255.0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>
        <v>46387.0</v>
      </c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2619.93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586.0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>
        <v>46418.0</v>
      </c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851.0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>
        <v>46326.0</v>
      </c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817.7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39</v>
      </c>
      <c r="D159" s="135">
        <v>850.0</v>
      </c>
      <c r="E159" s="136">
        <v>980.0</v>
      </c>
      <c r="F159" s="136">
        <v>0.0</v>
      </c>
      <c r="G159" s="136">
        <v>0.0</v>
      </c>
      <c r="H159" s="136">
        <v>0.0</v>
      </c>
      <c r="I159" s="136">
        <v>965.0</v>
      </c>
      <c r="J159" s="136">
        <v>0.0</v>
      </c>
      <c r="K159" s="136">
        <v>0.0</v>
      </c>
      <c r="L159" s="136">
        <v>0.0</v>
      </c>
      <c r="M159" s="136">
        <v>0.0</v>
      </c>
      <c r="N159" s="136">
        <v>0.0</v>
      </c>
      <c r="O159" s="136">
        <v>0.0</v>
      </c>
      <c r="P159" s="136">
        <v>0.0</v>
      </c>
      <c r="Q159" s="136">
        <v>0.0</v>
      </c>
      <c r="R159" s="136">
        <v>15.0</v>
      </c>
      <c r="S159" s="137">
        <v>46023.0</v>
      </c>
      <c r="T159" s="137">
        <v>46387.0</v>
      </c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847.7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>
        <v>46326.0</v>
      </c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955.5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>
        <v>46387.0</v>
      </c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686.85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11.8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886.0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886.0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39</v>
      </c>
      <c r="D166" s="135">
        <v>850.0</v>
      </c>
      <c r="E166" s="136">
        <v>1000.0</v>
      </c>
      <c r="F166" s="136">
        <v>2250.0</v>
      </c>
      <c r="G166" s="136">
        <v>0.0</v>
      </c>
      <c r="H166" s="136">
        <v>0.0</v>
      </c>
      <c r="I166" s="136">
        <v>1000.0</v>
      </c>
      <c r="J166" s="136">
        <v>0.0</v>
      </c>
      <c r="K166" s="136">
        <v>0.0</v>
      </c>
      <c r="L166" s="136">
        <v>0.0</v>
      </c>
      <c r="M166" s="136">
        <v>0.0</v>
      </c>
      <c r="N166" s="136">
        <v>0.0</v>
      </c>
      <c r="O166" s="136">
        <v>0.0</v>
      </c>
      <c r="P166" s="136">
        <v>0.0</v>
      </c>
      <c r="Q166" s="136">
        <v>0.0</v>
      </c>
      <c r="R166" s="136">
        <v>0.0</v>
      </c>
      <c r="S166" s="137">
        <v>45786.0</v>
      </c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46387.0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813.0</v>
      </c>
      <c r="F168" s="136">
        <v>879.0</v>
      </c>
      <c r="G168" s="136">
        <v>0.0</v>
      </c>
      <c r="H168" s="136">
        <v>0.0</v>
      </c>
      <c r="I168" s="136">
        <v>334.0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479.0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46387.0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925.0</v>
      </c>
      <c r="F169" s="136">
        <v>0.0</v>
      </c>
      <c r="G169" s="136">
        <v>0.0</v>
      </c>
      <c r="H169" s="136">
        <v>0.0</v>
      </c>
      <c r="I169" s="136">
        <v>925.0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>
        <v>46387.0</v>
      </c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342</v>
      </c>
      <c r="D171" s="139">
        <v>34800.0</v>
      </c>
      <c r="E171" s="140">
        <v>34219.5</v>
      </c>
      <c r="F171" s="140">
        <v>21149.28</v>
      </c>
      <c r="G171" s="140">
        <v>900.0</v>
      </c>
      <c r="H171" s="140">
        <v>180.0</v>
      </c>
      <c r="I171" s="140">
        <v>17328.0</v>
      </c>
      <c r="J171" s="140">
        <v>0.0</v>
      </c>
      <c r="K171" s="140">
        <v>4541.0</v>
      </c>
      <c r="L171" s="140">
        <v>0.0</v>
      </c>
      <c r="M171" s="140">
        <v>1958.0</v>
      </c>
      <c r="N171" s="140">
        <v>9162.0</v>
      </c>
      <c r="O171" s="140">
        <v>125.0</v>
      </c>
      <c r="P171" s="140">
        <v>0.0</v>
      </c>
      <c r="Q171" s="140">
        <v>0.0</v>
      </c>
      <c r="R171" s="140">
        <v>25.5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1090.0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42.0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0.0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640.0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834.75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1132.0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840.0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850.0</v>
      </c>
      <c r="F190" s="136">
        <v>-103.48</v>
      </c>
      <c r="G190" s="136">
        <v>0.0</v>
      </c>
      <c r="H190" s="136">
        <v>0.0</v>
      </c>
      <c r="I190" s="136">
        <v>238.0</v>
      </c>
      <c r="J190" s="136">
        <v>0.0</v>
      </c>
      <c r="K190" s="136">
        <v>0.0</v>
      </c>
      <c r="L190" s="136">
        <v>612.0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39</v>
      </c>
      <c r="D192" s="135">
        <v>825.0</v>
      </c>
      <c r="E192" s="136">
        <v>925.0</v>
      </c>
      <c r="F192" s="136">
        <v>0.0</v>
      </c>
      <c r="G192" s="136">
        <v>0.0</v>
      </c>
      <c r="H192" s="136">
        <v>0.0</v>
      </c>
      <c r="I192" s="136">
        <v>925.0</v>
      </c>
      <c r="J192" s="136">
        <v>0.0</v>
      </c>
      <c r="K192" s="136">
        <v>0.0</v>
      </c>
      <c r="L192" s="136">
        <v>0.0</v>
      </c>
      <c r="M192" s="136">
        <v>0.0</v>
      </c>
      <c r="N192" s="136">
        <v>0.0</v>
      </c>
      <c r="O192" s="136">
        <v>0.0</v>
      </c>
      <c r="P192" s="136">
        <v>0.0</v>
      </c>
      <c r="Q192" s="136">
        <v>0.0</v>
      </c>
      <c r="R192" s="136">
        <v>0.0</v>
      </c>
      <c r="S192" s="137">
        <v>46022.0</v>
      </c>
      <c r="T192" s="137">
        <v>46356.0</v>
      </c>
    </row>
    <row r="193" ht="18.0" customHeight="1">
      <c r="A193" s="134" t="s">
        <v>224</v>
      </c>
      <c r="B193" s="134" t="s">
        <v>56</v>
      </c>
      <c r="C193" s="134" t="s">
        <v>39</v>
      </c>
      <c r="D193" s="135">
        <v>750.0</v>
      </c>
      <c r="E193" s="136">
        <v>840.0</v>
      </c>
      <c r="F193" s="136">
        <v>880.0</v>
      </c>
      <c r="G193" s="136">
        <v>0.0</v>
      </c>
      <c r="H193" s="136">
        <v>0.0</v>
      </c>
      <c r="I193" s="136">
        <v>800.0</v>
      </c>
      <c r="J193" s="136">
        <v>0.0</v>
      </c>
      <c r="K193" s="136">
        <v>0.0</v>
      </c>
      <c r="L193" s="136">
        <v>0.0</v>
      </c>
      <c r="M193" s="136">
        <v>0.0</v>
      </c>
      <c r="N193" s="136">
        <v>0.0</v>
      </c>
      <c r="O193" s="136">
        <v>25.0</v>
      </c>
      <c r="P193" s="136">
        <v>0.0</v>
      </c>
      <c r="Q193" s="136">
        <v>0.0</v>
      </c>
      <c r="R193" s="136">
        <v>15.0</v>
      </c>
      <c r="S193" s="137">
        <v>45987.0</v>
      </c>
      <c r="T193" s="137">
        <v>46326.0</v>
      </c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800.0</v>
      </c>
      <c r="F194" s="136">
        <v>0.0</v>
      </c>
      <c r="G194" s="136">
        <v>0.0</v>
      </c>
      <c r="H194" s="136">
        <v>0.0</v>
      </c>
      <c r="I194" s="136">
        <v>800.0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>
        <v>46568.0</v>
      </c>
    </row>
    <row r="195" ht="18.0" customHeight="1">
      <c r="A195" s="138" t="s">
        <v>226</v>
      </c>
      <c r="B195" s="138"/>
      <c r="C195" s="138" t="s">
        <v>44</v>
      </c>
      <c r="D195" s="139">
        <v>17550.0</v>
      </c>
      <c r="E195" s="140">
        <v>18050.0</v>
      </c>
      <c r="F195" s="140">
        <v>5355.27</v>
      </c>
      <c r="G195" s="140">
        <v>0.0</v>
      </c>
      <c r="H195" s="140">
        <v>0.0</v>
      </c>
      <c r="I195" s="140">
        <v>17398.0</v>
      </c>
      <c r="J195" s="140">
        <v>0.0</v>
      </c>
      <c r="K195" s="140">
        <v>0.0</v>
      </c>
      <c r="L195" s="140">
        <v>612.0</v>
      </c>
      <c r="M195" s="140">
        <v>0.0</v>
      </c>
      <c r="N195" s="140">
        <v>0.0</v>
      </c>
      <c r="O195" s="140">
        <v>25.0</v>
      </c>
      <c r="P195" s="140">
        <v>0.0</v>
      </c>
      <c r="Q195" s="140">
        <v>0.0</v>
      </c>
      <c r="R195" s="140">
        <v>15.0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0.0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0.0</v>
      </c>
      <c r="G199" s="136">
        <v>0.0</v>
      </c>
      <c r="H199" s="136">
        <v>225.0</v>
      </c>
      <c r="I199" s="136">
        <v>122.0</v>
      </c>
      <c r="J199" s="136">
        <v>0.0</v>
      </c>
      <c r="K199" s="136">
        <v>0.0</v>
      </c>
      <c r="L199" s="136">
        <v>903.0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1175.0</v>
      </c>
      <c r="F200" s="136">
        <v>686.7</v>
      </c>
      <c r="G200" s="136">
        <v>0.0</v>
      </c>
      <c r="H200" s="136">
        <v>225.0</v>
      </c>
      <c r="I200" s="136">
        <v>950.0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-690.0</v>
      </c>
      <c r="G202" s="136">
        <v>0.0</v>
      </c>
      <c r="H202" s="136">
        <v>225.0</v>
      </c>
      <c r="I202" s="136">
        <v>144.0</v>
      </c>
      <c r="J202" s="136">
        <v>0.0</v>
      </c>
      <c r="K202" s="136">
        <v>0.0</v>
      </c>
      <c r="L202" s="136">
        <v>881.0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1644.51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1220.0</v>
      </c>
      <c r="F207" s="136">
        <v>-0.26</v>
      </c>
      <c r="G207" s="136">
        <v>0.0</v>
      </c>
      <c r="H207" s="136">
        <v>225.0</v>
      </c>
      <c r="I207" s="136">
        <v>199.0</v>
      </c>
      <c r="J207" s="136">
        <v>0.0</v>
      </c>
      <c r="K207" s="136">
        <v>0.0</v>
      </c>
      <c r="L207" s="136">
        <v>796.0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-91.25</v>
      </c>
      <c r="G208" s="136">
        <v>0.0</v>
      </c>
      <c r="H208" s="136">
        <v>225.0</v>
      </c>
      <c r="I208" s="136">
        <v>222.0</v>
      </c>
      <c r="J208" s="136">
        <v>0.0</v>
      </c>
      <c r="K208" s="136">
        <v>0.0</v>
      </c>
      <c r="L208" s="136">
        <v>803.0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1250.0</v>
      </c>
      <c r="F211" s="136">
        <v>-3.0</v>
      </c>
      <c r="G211" s="136">
        <v>0.0</v>
      </c>
      <c r="H211" s="136">
        <v>225.0</v>
      </c>
      <c r="I211" s="136">
        <v>508.0</v>
      </c>
      <c r="J211" s="136">
        <v>0.0</v>
      </c>
      <c r="K211" s="136">
        <v>0.0</v>
      </c>
      <c r="L211" s="136">
        <v>517.0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514.02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1121.25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0.0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46568.0</v>
      </c>
    </row>
    <row r="217" ht="18.0" customHeight="1">
      <c r="A217" s="134" t="s">
        <v>84</v>
      </c>
      <c r="B217" s="134" t="s">
        <v>38</v>
      </c>
      <c r="C217" s="134" t="s">
        <v>47</v>
      </c>
      <c r="D217" s="135">
        <v>825.0</v>
      </c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7"/>
      <c r="T217" s="137"/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0.0</v>
      </c>
      <c r="G222" s="136">
        <v>0.0</v>
      </c>
      <c r="H222" s="136">
        <v>225.0</v>
      </c>
      <c r="I222" s="136">
        <v>408.0</v>
      </c>
      <c r="J222" s="136">
        <v>0.0</v>
      </c>
      <c r="K222" s="136">
        <v>0.0</v>
      </c>
      <c r="L222" s="136">
        <v>667.0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46265.0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1301.25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1225.0</v>
      </c>
      <c r="F225" s="136">
        <v>400.0</v>
      </c>
      <c r="G225" s="136">
        <v>0.0</v>
      </c>
      <c r="H225" s="136">
        <v>225.0</v>
      </c>
      <c r="I225" s="136">
        <v>1000.0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>
        <v>46387.0</v>
      </c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1175.0</v>
      </c>
      <c r="F226" s="136">
        <v>0.0</v>
      </c>
      <c r="G226" s="136">
        <v>0.0</v>
      </c>
      <c r="H226" s="136">
        <v>225.0</v>
      </c>
      <c r="I226" s="136">
        <v>950.0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46387.0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48.75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-20.0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46446.0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2159.25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1167.4</v>
      </c>
      <c r="G233" s="136">
        <v>0.0</v>
      </c>
      <c r="H233" s="136">
        <v>225.0</v>
      </c>
      <c r="I233" s="136">
        <v>448.0</v>
      </c>
      <c r="J233" s="136">
        <v>0.0</v>
      </c>
      <c r="K233" s="136">
        <v>0.0</v>
      </c>
      <c r="L233" s="136">
        <v>577.0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343.7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47</v>
      </c>
      <c r="D236" s="135">
        <v>825.0</v>
      </c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7"/>
      <c r="T236" s="137"/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-260.0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39</v>
      </c>
      <c r="D238" s="135">
        <v>825.0</v>
      </c>
      <c r="E238" s="136">
        <v>1250.0</v>
      </c>
      <c r="F238" s="136">
        <v>2236.9</v>
      </c>
      <c r="G238" s="136">
        <v>0.0</v>
      </c>
      <c r="H238" s="136">
        <v>225.0</v>
      </c>
      <c r="I238" s="136">
        <v>1025.0</v>
      </c>
      <c r="J238" s="136">
        <v>0.0</v>
      </c>
      <c r="K238" s="136">
        <v>0.0</v>
      </c>
      <c r="L238" s="136">
        <v>0.0</v>
      </c>
      <c r="M238" s="136">
        <v>0.0</v>
      </c>
      <c r="N238" s="136">
        <v>0.0</v>
      </c>
      <c r="O238" s="136">
        <v>0.0</v>
      </c>
      <c r="P238" s="136">
        <v>0.0</v>
      </c>
      <c r="Q238" s="136">
        <v>0.0</v>
      </c>
      <c r="R238" s="136">
        <v>0.0</v>
      </c>
      <c r="S238" s="137">
        <v>45139.0</v>
      </c>
      <c r="T238" s="137">
        <v>45987.0</v>
      </c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-2364.0</v>
      </c>
      <c r="G239" s="136">
        <v>0.0</v>
      </c>
      <c r="H239" s="136">
        <v>125.0</v>
      </c>
      <c r="I239" s="136">
        <v>186.0</v>
      </c>
      <c r="J239" s="136">
        <v>0.0</v>
      </c>
      <c r="K239" s="136">
        <v>0.0</v>
      </c>
      <c r="L239" s="136">
        <v>687.0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1250.0</v>
      </c>
      <c r="F240" s="136">
        <v>-615.8</v>
      </c>
      <c r="G240" s="136">
        <v>0.0</v>
      </c>
      <c r="H240" s="136">
        <v>225.0</v>
      </c>
      <c r="I240" s="136">
        <v>99.0</v>
      </c>
      <c r="J240" s="136">
        <v>0.0</v>
      </c>
      <c r="K240" s="136">
        <v>0.0</v>
      </c>
      <c r="L240" s="136">
        <v>926.0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>
        <v>46302.0</v>
      </c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25.0</v>
      </c>
      <c r="G241" s="136">
        <v>0.0</v>
      </c>
      <c r="H241" s="136">
        <v>225.0</v>
      </c>
      <c r="I241" s="136">
        <v>275.0</v>
      </c>
      <c r="J241" s="136">
        <v>0.0</v>
      </c>
      <c r="K241" s="136">
        <v>0.0</v>
      </c>
      <c r="L241" s="136">
        <v>750.0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-1.1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>
        <v>46387.0</v>
      </c>
    </row>
    <row r="247" ht="18.0" customHeight="1">
      <c r="A247" s="138" t="s">
        <v>244</v>
      </c>
      <c r="B247" s="138"/>
      <c r="C247" s="138" t="s">
        <v>336</v>
      </c>
      <c r="D247" s="139">
        <v>40350.0</v>
      </c>
      <c r="E247" s="140">
        <v>51009.3</v>
      </c>
      <c r="F247" s="140">
        <v>7448.32</v>
      </c>
      <c r="G247" s="140">
        <v>0.0</v>
      </c>
      <c r="H247" s="140">
        <v>8645.8</v>
      </c>
      <c r="I247" s="140">
        <v>33106.5</v>
      </c>
      <c r="J247" s="140">
        <v>0.0</v>
      </c>
      <c r="K247" s="140">
        <v>0.0</v>
      </c>
      <c r="L247" s="140">
        <v>9167.0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700.0</v>
      </c>
      <c r="F249" s="136">
        <v>531.67</v>
      </c>
      <c r="G249" s="136">
        <v>0.0</v>
      </c>
      <c r="H249" s="136">
        <v>0.0</v>
      </c>
      <c r="I249" s="136">
        <v>215.0</v>
      </c>
      <c r="J249" s="136">
        <v>485.0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0.0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46081.0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0.0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422.1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46477.0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30.44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0.0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0.0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0.0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46477.0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-57.07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0.0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0.0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778.94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368.54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178</v>
      </c>
      <c r="D262" s="135">
        <v>675.0</v>
      </c>
      <c r="E262" s="136">
        <v>775.0</v>
      </c>
      <c r="F262" s="136">
        <v>1872.14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700.0</v>
      </c>
      <c r="F263" s="136">
        <v>430.08</v>
      </c>
      <c r="G263" s="136">
        <v>0.0</v>
      </c>
      <c r="H263" s="136">
        <v>0.0</v>
      </c>
      <c r="I263" s="136">
        <v>700.0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>
        <v>46356.0</v>
      </c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0.0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46447.0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-36.83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250.94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0.0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46403.0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0.0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46418.0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675.0</v>
      </c>
      <c r="F269" s="136">
        <v>-71.01</v>
      </c>
      <c r="G269" s="136">
        <v>0.0</v>
      </c>
      <c r="H269" s="136">
        <v>0.0</v>
      </c>
      <c r="I269" s="136">
        <v>675.0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0.0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60.0</v>
      </c>
      <c r="G271" s="136">
        <v>0.0</v>
      </c>
      <c r="H271" s="136">
        <v>0.0</v>
      </c>
      <c r="I271" s="136">
        <v>56.0</v>
      </c>
      <c r="J271" s="136">
        <v>694.0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46029.0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0.0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46326.0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-582.0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261.47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0.0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750.0</v>
      </c>
      <c r="F276" s="136">
        <v>0.0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0.0</v>
      </c>
      <c r="S276" s="137">
        <v>44742.0</v>
      </c>
      <c r="T276" s="137">
        <v>46356.0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-1.0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1611.35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46294.0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22200.0</v>
      </c>
      <c r="F279" s="140">
        <v>5869.76</v>
      </c>
      <c r="G279" s="140">
        <v>0.0</v>
      </c>
      <c r="H279" s="140">
        <v>0.0</v>
      </c>
      <c r="I279" s="140">
        <v>18919.0</v>
      </c>
      <c r="J279" s="140">
        <v>3231.0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0.0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320</v>
      </c>
      <c r="D281" s="139">
        <v>229909.0</v>
      </c>
      <c r="E281" s="140">
        <v>211136.8</v>
      </c>
      <c r="F281" s="140">
        <v>76530.37</v>
      </c>
      <c r="G281" s="140">
        <v>900.0</v>
      </c>
      <c r="H281" s="140">
        <v>8825.8</v>
      </c>
      <c r="I281" s="140">
        <v>162439.5</v>
      </c>
      <c r="J281" s="140">
        <v>4159.0</v>
      </c>
      <c r="K281" s="140">
        <v>4541.0</v>
      </c>
      <c r="L281" s="140">
        <v>18616.0</v>
      </c>
      <c r="M281" s="140">
        <v>1958.0</v>
      </c>
      <c r="N281" s="140">
        <v>9162.0</v>
      </c>
      <c r="O281" s="140">
        <v>425.0</v>
      </c>
      <c r="P281" s="140">
        <v>25.0</v>
      </c>
      <c r="Q281" s="140">
        <v>15.0</v>
      </c>
      <c r="R281" s="140">
        <v>70.5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0.9184081633</v>
      </c>
      <c r="D282" s="145">
        <f t="shared" ref="D282:D284" si="2">IFERROR(
  SUMPRODUCT((A$285:A$295=A282)*D$285:D$295*I$285:I$295) /
  SUMPRODUCT((A$285:A$295=A282)*I$285:I$295),
0)</f>
        <v>0.8177003749</v>
      </c>
      <c r="E282" s="146">
        <f t="shared" ref="E282:E284" si="3">IFERROR(
  SUMPRODUCT((A$285:A$295=A282)*E$285:E$295),
0)
</f>
        <v>5633.73</v>
      </c>
      <c r="F282" s="147">
        <f t="shared" ref="F282:F284" si="4">IFERROR(
  SUMPRODUCT((A$285:A$295=A282)*F$285:F$295),
0)
</f>
        <v>9585.97</v>
      </c>
      <c r="G282" s="148">
        <f t="shared" ref="G282:G284" si="5">IFERROR(
  SUMPRODUCT((A$285:A$295=A282)*G$285:G$295),
0)
</f>
        <v>3</v>
      </c>
      <c r="H282" s="149">
        <f t="shared" ref="H282:H284" si="6">IFERROR(
  SUMPRODUCT((A$285:A$295=A282)*H$285:H$295*I$285:I$295) /
  SUMPRODUCT((A$285:A$295=A282)*I$285:I$295),
0)</f>
        <v>0.8418367347</v>
      </c>
    </row>
    <row r="283" ht="18.0" customHeight="1">
      <c r="A283" s="152" t="s">
        <v>251</v>
      </c>
      <c r="B283" s="153"/>
      <c r="C283" s="154">
        <f t="shared" si="1"/>
        <v>0.8426352201</v>
      </c>
      <c r="D283" s="155">
        <f t="shared" si="2"/>
        <v>0.7364158064</v>
      </c>
      <c r="E283" s="156">
        <f t="shared" si="3"/>
        <v>32324.99</v>
      </c>
      <c r="F283" s="157">
        <f t="shared" si="4"/>
        <v>45795.12</v>
      </c>
      <c r="G283" s="158">
        <f t="shared" si="5"/>
        <v>2</v>
      </c>
      <c r="H283" s="149">
        <f t="shared" si="6"/>
        <v>0.769623946</v>
      </c>
    </row>
    <row r="284" ht="18.0" customHeight="1">
      <c r="A284" s="160" t="s">
        <v>252</v>
      </c>
      <c r="B284" s="161"/>
      <c r="C284" s="162">
        <f t="shared" si="1"/>
        <v>0.925</v>
      </c>
      <c r="D284" s="163">
        <f t="shared" si="2"/>
        <v>0.4810356668</v>
      </c>
      <c r="E284" s="164">
        <f t="shared" si="3"/>
        <v>17758.7</v>
      </c>
      <c r="F284" s="165">
        <f t="shared" si="4"/>
        <v>21149.28</v>
      </c>
      <c r="G284" s="166">
        <f t="shared" si="5"/>
        <v>0</v>
      </c>
      <c r="H284" s="149">
        <f t="shared" si="6"/>
        <v>0.7297297297</v>
      </c>
    </row>
    <row r="285" ht="18.0" customHeight="1">
      <c r="A285" s="169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"),0.75)</f>
        <v>0.75</v>
      </c>
      <c r="D285" s="172">
        <f t="array" ref="D285">SUM(MAP(E11:E14, F11:F14, LAMBDA(e,f, MAX(0, e-f)))) / SUM(E11:E14)
</f>
        <v>0.7008547009</v>
      </c>
      <c r="E285" s="173">
        <f t="array" ref="E285">SUM(MAP(E$11:E$14, F$11:F$14, LAMBDA(e,f, MIN(e, f))))
</f>
        <v>875</v>
      </c>
      <c r="F285" s="174">
        <f>F15</f>
        <v>1157.5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"),1.0)</f>
        <v>1</v>
      </c>
      <c r="I285" s="175">
        <v>4.0</v>
      </c>
      <c r="J285" s="177">
        <v>46340.0</v>
      </c>
    </row>
    <row r="286" ht="18.0" customHeight="1">
      <c r="A286" s="169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1</v>
      </c>
      <c r="E286" s="173">
        <f t="array" ref="E286">SUM(MAP(E$17:E$22, F$17:F$22, LAMBDA(e,f, MIN(e, f))))
</f>
        <v>0</v>
      </c>
      <c r="F286" s="174">
        <f>F23</f>
        <v>0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"),0.75)</f>
        <v>0.75</v>
      </c>
      <c r="I286" s="175">
        <v>6.0</v>
      </c>
      <c r="J286" s="179" t="s">
        <v>255</v>
      </c>
    </row>
    <row r="287" ht="18.0" customHeight="1">
      <c r="A287" s="169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"),0.8)</f>
        <v>0.8</v>
      </c>
      <c r="D287" s="172">
        <f t="array" ref="D287">SUM(MAP(E25:E29, F25:F29, LAMBDA(e, f, MAX(0, e - f)))) / SUM(E25:E29)</f>
        <v>0.7521367521</v>
      </c>
      <c r="E287" s="173">
        <f t="array" ref="E287">SUM(MAP(E$25:E$29, F$25:F$29, LAMBDA(e,f, MIN(e, f))))
</f>
        <v>725</v>
      </c>
      <c r="F287" s="174">
        <f>F30</f>
        <v>2461.25</v>
      </c>
      <c r="G287" s="175">
        <f>IFERROR(__xludf.DUMMYFUNCTION("SUMPRODUCT(--(C25:C29&lt;&gt;""Vacant-Unrented""),--(C25:C29&lt;&gt;""Vacant-Rented""),--((N(W25:W29)&gt;N(X25:X29))+N(REGEXMATCH(LOWER(C25:C29),""evict""))&gt;0))"),1.0)</f>
        <v>1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"),0.75)</f>
        <v>0.75</v>
      </c>
      <c r="I287" s="175">
        <v>5.0</v>
      </c>
      <c r="J287" s="179" t="s">
        <v>257</v>
      </c>
    </row>
    <row r="288" ht="18.0" customHeight="1">
      <c r="A288" s="169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0.9350266667</v>
      </c>
      <c r="E288" s="173">
        <f t="array" ref="E288">SUM(MAP(E$32:E$33, F$32:F$33, LAMBDA(e,f, MIN(e, f))))
</f>
        <v>97.46</v>
      </c>
      <c r="F288" s="174">
        <f>F34</f>
        <v>97.46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  <c r="J288" s="179" t="s">
        <v>259</v>
      </c>
    </row>
    <row r="289" ht="18.0" customHeight="1">
      <c r="A289" s="169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1</v>
      </c>
      <c r="E289" s="173">
        <f t="array" ref="E289">SUM(MAP(E$36:E$37, F$36:F$37, LAMBDA(e,f, MIN(e, f))))
</f>
        <v>0</v>
      </c>
      <c r="F289" s="174">
        <f>F38</f>
        <v>0</v>
      </c>
      <c r="G289" s="175">
        <f>IFERROR(__xludf.DUMMYFUNCTION("SUMPRODUCT(--(C40:C75&lt;&gt;""Vacant-Unrented""),--(C40:C75&lt;&gt;""Vacant-Rented""),--((N(W40:W75)&gt;N(X40:X75))+N(REGEXMATCH(LOWER(C40:C75),""evict""))&gt;0))"),1.0)</f>
        <v>1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  <c r="J289" s="179" t="s">
        <v>261</v>
      </c>
    </row>
    <row r="290" ht="18.0" customHeight="1">
      <c r="A290" s="180" t="s">
        <v>251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0.6708610298</v>
      </c>
      <c r="E290" s="173">
        <f t="array" ref="E290">SUM(MAP(E$40:E$75, F$40:F$75, LAMBDA(e,f, MIN(e, f))))
</f>
        <v>9556.55</v>
      </c>
      <c r="F290" s="174">
        <f>F76</f>
        <v>14458.87</v>
      </c>
      <c r="G290" s="175">
        <f>IFERROR(__xludf.DUMMYFUNCTION("SUMPRODUCT(--(C40:C75&lt;&gt;""Vacant-Unrented""),--(C40:C75&lt;&gt;""Vacant-Rented""),--((N(W40:W75)&gt;N(X40:X75))+N(REGEXMATCH(LOWER(C40:C75),""evict""))&gt;0))"),1.0)</f>
        <v>1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"),0.75)</f>
        <v>0.75</v>
      </c>
      <c r="I290" s="175">
        <v>36.0</v>
      </c>
      <c r="J290" s="179" t="s">
        <v>263</v>
      </c>
    </row>
    <row r="291" ht="18.0" customHeight="1">
      <c r="A291" s="169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"),0.725)</f>
        <v>0.725</v>
      </c>
      <c r="D291" s="172">
        <f t="array" ref="D291">SUM(MAP(E79:E129, F79:F129, LAMBDA(e,f, MAX(0, e-f)))) / SUM(E79:E129)
</f>
        <v>0.6291941143</v>
      </c>
      <c r="E291" s="173">
        <f t="array" ref="E291">SUM(MAP(E$78:E$128, F$78:F$128, LAMBDA(e,f, MIN(e, f))))
</f>
        <v>13169.76</v>
      </c>
      <c r="F291" s="174">
        <f>F129</f>
        <v>18532.66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"),1.0)</f>
        <v>1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"),0.8918918918918919)</f>
        <v>0.8918918919</v>
      </c>
      <c r="I291" s="175">
        <v>51.0</v>
      </c>
      <c r="J291" s="179" t="s">
        <v>265</v>
      </c>
    </row>
    <row r="292" ht="18.0" customHeight="1">
      <c r="A292" s="169" t="s">
        <v>252</v>
      </c>
      <c r="B292" s="170" t="s">
        <v>266</v>
      </c>
      <c r="C292" s="171">
        <f>IFERROR(__xludf.DUMMYFUNCTION("IF(ISNUMBER(SEARCH(""%"",C171)), VALUE(REGEXREPLACE(C171,""[^0-9.]"",""""))/100, VALUE(REGEXREPLACE(C171,""[^0-9.]"","""")))
"),0.925)</f>
        <v>0.925</v>
      </c>
      <c r="D292" s="172">
        <f t="array" ref="D292">SUM(MAP(E131:E170, F131:F170, LAMBDA(e,f, MAX(0, e-f)))) / SUM(E131:E170)
</f>
        <v>0.4810356668</v>
      </c>
      <c r="E292" s="173">
        <f t="array" ref="E292">SUM(MAP(E$131:E$170, F$131:F$170, LAMBDA(e,f, MIN(e, f))))
</f>
        <v>17758.7</v>
      </c>
      <c r="F292" s="174">
        <f>F171</f>
        <v>21149.28</v>
      </c>
      <c r="G292" s="175">
        <f>IFERROR(__xludf.DUMMYFUNCTION("SUMPRODUCT(--(C131:C170&lt;&gt;""Vacant-Unrented""),--(C131:C170&lt;&gt;""Vacant-Rented""),--((N(W131:W170)&gt;N(X131:X170))+N(REGEXMATCH(LOWER(C131:C170),""evict""))&gt;0))"),0.0)</f>
        <v>0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"),0.7297297297297297)</f>
        <v>0.7297297297</v>
      </c>
      <c r="I292" s="175">
        <v>40.0</v>
      </c>
      <c r="J292" s="179" t="s">
        <v>267</v>
      </c>
    </row>
    <row r="293" ht="18.0" customHeight="1">
      <c r="A293" s="180" t="s">
        <v>251</v>
      </c>
      <c r="B293" s="170" t="s">
        <v>268</v>
      </c>
      <c r="C293" s="171">
        <f>IFERROR(__xludf.DUMMYFUNCTION("IF(ISNUMBER(SEARCH(""%"",C195)), VALUE(REGEXREPLACE(C195,""[^0-9.]"",""""))/100, VALUE(REGEXREPLACE(C195,""[^0-9.]"","""")))
"),1.0)</f>
        <v>1</v>
      </c>
      <c r="D293" s="172">
        <f t="array" ref="D293">SUM(MAP(E174:E195, F174:F195, LAMBDA(e,f, MAX(0, e-f)))) / SUM(E174:E195)
</f>
        <v>0.7173112092</v>
      </c>
      <c r="E293" s="173">
        <f t="array" ref="E293">SUM(MAP(E$173:E$194, F$173:F$194, LAMBDA(e,f, MIN(e, f))))
</f>
        <v>4568.52</v>
      </c>
      <c r="F293" s="174">
        <f>F195</f>
        <v>5355.27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"),0.6818181818181818)</f>
        <v>0.6818181818</v>
      </c>
      <c r="I293" s="175">
        <v>22.0</v>
      </c>
      <c r="J293" s="179" t="s">
        <v>269</v>
      </c>
    </row>
    <row r="294" ht="18.0" customHeight="1">
      <c r="A294" s="180" t="s">
        <v>251</v>
      </c>
      <c r="B294" s="170" t="s">
        <v>270</v>
      </c>
      <c r="C294" s="171">
        <f>IFERROR(__xludf.DUMMYFUNCTION("IF(ISNUMBER(SEARCH(""%"",C247)), VALUE(REGEXREPLACE(C247,""[^0-9.]"",""""))/100, VALUE(REGEXREPLACE(C247,""[^0-9.]"","""")))
"),0.86)</f>
        <v>0.86</v>
      </c>
      <c r="D294" s="172">
        <f t="array" ref="D294">SUM(MAP(E197:E246, F197:F246, LAMBDA(e,f, MAX(0, e-f)))) / SUM(E197:E246)
</f>
        <v>0.9013873941</v>
      </c>
      <c r="E294" s="173">
        <f t="array" ref="E294">SUM(MAP(E$197:E$246, F$197:F$246, LAMBDA(e,f, MIN(e, f))))
</f>
        <v>5030.16</v>
      </c>
      <c r="F294" s="174">
        <f>F247</f>
        <v>7448.32</v>
      </c>
      <c r="G294" s="175">
        <f>IFERROR(__xludf.DUMMYFUNCTION("SUMPRODUCT(--(C197:C246&lt;&gt;""Vacant-Unrented""),--(C197:C246&lt;&gt;""Vacant-Rented""),--((N(W197:W246)&gt;N(X197:X246))+N(REGEXMATCH(LOWER(C197:C246),""evict""))&gt;0))"),0.0)</f>
        <v>0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"),0.6976744186046512)</f>
        <v>0.6976744186</v>
      </c>
      <c r="I294" s="175">
        <v>50.0</v>
      </c>
      <c r="J294" s="179" t="s">
        <v>271</v>
      </c>
    </row>
    <row r="295" ht="18.0" customHeight="1">
      <c r="A295" s="180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0.7877720824</v>
      </c>
      <c r="E295" s="183">
        <f t="array" ref="E295">SUM(MAP(E$249:E$278, F$249:F$278, LAMBDA(e,f, MIN(e, f))))
</f>
        <v>3936.27</v>
      </c>
      <c r="F295" s="184">
        <f>F279</f>
        <v>5869.76</v>
      </c>
      <c r="G295" s="185">
        <f>IFERROR(__xludf.DUMMYFUNCTION("SUMPRODUCT(--(C249:C278&lt;&gt;""Vacant-Unrented""),--(C249:C278&lt;&gt;""Vacant-Rented""),--((N(W249:W278)&gt;N(X249:X278))+N(REGEXMATCH(LOWER(C249:C278),""evict""))&gt;0))"),1.0)</f>
        <v>1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"),0.8333333333333334)</f>
        <v>0.8333333333</v>
      </c>
      <c r="I295" s="175">
        <v>30.0</v>
      </c>
      <c r="J295" s="179" t="s">
        <v>273</v>
      </c>
    </row>
    <row r="296" ht="18.0" customHeight="1">
      <c r="A296" s="186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0)"),0.8719239543726236)</f>
        <v>0.8719239544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"),0.7361074904990508)</f>
        <v>0.7361074905</v>
      </c>
      <c r="E296" s="190">
        <f t="shared" ref="E296:G296" si="7">sum(E285:E295)</f>
        <v>55717.42</v>
      </c>
      <c r="F296" s="190">
        <f t="shared" si="7"/>
        <v>76530.37</v>
      </c>
      <c r="G296" s="191">
        <f t="shared" si="7"/>
        <v>5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"),0.7731481481481481)</f>
        <v>0.7731481481</v>
      </c>
      <c r="I296" s="193"/>
      <c r="J296" s="194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5"/>
    <col customWidth="1" min="7" max="7" width="31.25"/>
    <col customWidth="1" min="8" max="8" width="34.38"/>
    <col customWidth="1" min="9" max="9" width="12.13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28" t="s">
        <v>10</v>
      </c>
    </row>
    <row r="2" ht="18.0" customHeight="1">
      <c r="A2" s="130" t="s">
        <v>348</v>
      </c>
    </row>
    <row r="3" ht="18.0" customHeight="1">
      <c r="A3" s="130"/>
    </row>
    <row r="4" ht="18.0" customHeight="1">
      <c r="A4" s="131" t="s">
        <v>349</v>
      </c>
    </row>
    <row r="5" ht="18.0" customHeight="1">
      <c r="A5" s="131" t="s">
        <v>350</v>
      </c>
    </row>
    <row r="6" ht="18.0" customHeight="1">
      <c r="A6" s="131" t="s">
        <v>351</v>
      </c>
    </row>
    <row r="7" ht="18.0" customHeight="1">
      <c r="A7" s="131" t="s">
        <v>352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312.5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0.0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47</v>
      </c>
      <c r="D14" s="135">
        <v>950.0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7"/>
      <c r="T14" s="137"/>
    </row>
    <row r="15" ht="18.0" customHeight="1">
      <c r="A15" s="138" t="s">
        <v>43</v>
      </c>
      <c r="B15" s="138"/>
      <c r="C15" s="138" t="s">
        <v>313</v>
      </c>
      <c r="D15" s="139">
        <v>3800.0</v>
      </c>
      <c r="E15" s="140">
        <v>2925.0</v>
      </c>
      <c r="F15" s="140">
        <v>312.5</v>
      </c>
      <c r="G15" s="140">
        <v>0.0</v>
      </c>
      <c r="H15" s="140">
        <v>0.0</v>
      </c>
      <c r="I15" s="140">
        <v>2532.0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46443.0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950.0</v>
      </c>
      <c r="F22" s="136">
        <v>0.0</v>
      </c>
      <c r="G22" s="136">
        <v>0.0</v>
      </c>
      <c r="H22" s="136">
        <v>0.0</v>
      </c>
      <c r="I22" s="136">
        <v>925.0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25.0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3675.0</v>
      </c>
      <c r="F23" s="140">
        <v>0.0</v>
      </c>
      <c r="G23" s="140">
        <v>0.0</v>
      </c>
      <c r="H23" s="140">
        <v>0.0</v>
      </c>
      <c r="I23" s="140">
        <v>3065.0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50.0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47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178</v>
      </c>
      <c r="D28" s="135">
        <v>621.0</v>
      </c>
      <c r="E28" s="136">
        <v>725.0</v>
      </c>
      <c r="F28" s="136">
        <v>2800.25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46431.0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2800.25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850.0</v>
      </c>
      <c r="F32" s="136">
        <v>73.95</v>
      </c>
      <c r="G32" s="136">
        <v>0.0</v>
      </c>
      <c r="H32" s="136">
        <v>0.0</v>
      </c>
      <c r="I32" s="136">
        <v>850.0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83.51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1500.0</v>
      </c>
      <c r="F34" s="140">
        <v>157.46</v>
      </c>
      <c r="G34" s="140">
        <v>0.0</v>
      </c>
      <c r="H34" s="140">
        <v>0.0</v>
      </c>
      <c r="I34" s="140">
        <v>1500.0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1106.25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46356.0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46400.0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46023.0</v>
      </c>
      <c r="T44" s="137">
        <v>46568.0</v>
      </c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2332.5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46568.0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45954.0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1106.25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46355.0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975.0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850.0</v>
      </c>
      <c r="F54" s="136">
        <v>0.0</v>
      </c>
      <c r="G54" s="136">
        <v>0.0</v>
      </c>
      <c r="H54" s="136">
        <v>0.0</v>
      </c>
      <c r="I54" s="136">
        <v>850.0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46387.0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922.5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46081.0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800.0</v>
      </c>
      <c r="F58" s="136">
        <v>0.0</v>
      </c>
      <c r="G58" s="136">
        <v>0.0</v>
      </c>
      <c r="H58" s="136">
        <v>0.0</v>
      </c>
      <c r="I58" s="136">
        <v>800.0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46387.0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1025.0</v>
      </c>
      <c r="F60" s="136">
        <v>402.88</v>
      </c>
      <c r="G60" s="136">
        <v>0.0</v>
      </c>
      <c r="H60" s="136">
        <v>0.0</v>
      </c>
      <c r="I60" s="136">
        <v>0.0</v>
      </c>
      <c r="J60" s="136">
        <v>0.0</v>
      </c>
      <c r="K60" s="136">
        <v>0.0</v>
      </c>
      <c r="L60" s="136">
        <v>1025.0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0.0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178</v>
      </c>
      <c r="D65" s="135">
        <v>700.0</v>
      </c>
      <c r="E65" s="136">
        <v>825.0</v>
      </c>
      <c r="F65" s="136">
        <v>3173.75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870.0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46442.0</v>
      </c>
    </row>
    <row r="68" ht="18.0" customHeight="1">
      <c r="A68" s="134" t="s">
        <v>91</v>
      </c>
      <c r="B68" s="134" t="s">
        <v>38</v>
      </c>
      <c r="C68" s="134" t="s">
        <v>107</v>
      </c>
      <c r="D68" s="135">
        <v>950.0</v>
      </c>
      <c r="E68" s="136">
        <v>800.0</v>
      </c>
      <c r="F68" s="136">
        <v>870.0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1943.57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800.0</v>
      </c>
      <c r="F70" s="136">
        <v>0.0</v>
      </c>
      <c r="G70" s="136">
        <v>0.0</v>
      </c>
      <c r="H70" s="136">
        <v>0.0</v>
      </c>
      <c r="I70" s="136">
        <v>800.0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1025.0</v>
      </c>
      <c r="F72" s="136">
        <v>-75.81</v>
      </c>
      <c r="G72" s="136">
        <v>0.0</v>
      </c>
      <c r="H72" s="136">
        <v>0.0</v>
      </c>
      <c r="I72" s="136">
        <v>83.0</v>
      </c>
      <c r="J72" s="136">
        <v>0.0</v>
      </c>
      <c r="K72" s="136">
        <v>0.0</v>
      </c>
      <c r="L72" s="136">
        <v>942.0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1027.5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46094.0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29035.0</v>
      </c>
      <c r="F76" s="140">
        <v>14654.39</v>
      </c>
      <c r="G76" s="140">
        <v>0.0</v>
      </c>
      <c r="H76" s="140">
        <v>0.0</v>
      </c>
      <c r="I76" s="140">
        <v>27003.0</v>
      </c>
      <c r="J76" s="140">
        <v>0.0</v>
      </c>
      <c r="K76" s="140">
        <v>0.0</v>
      </c>
      <c r="L76" s="140">
        <v>1967.0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900.0</v>
      </c>
      <c r="F78" s="136">
        <v>0.0</v>
      </c>
      <c r="G78" s="136">
        <v>0.0</v>
      </c>
      <c r="H78" s="136">
        <v>0.0</v>
      </c>
      <c r="I78" s="136">
        <v>0.0</v>
      </c>
      <c r="J78" s="136">
        <v>0.0</v>
      </c>
      <c r="K78" s="136">
        <v>0.0</v>
      </c>
      <c r="L78" s="136">
        <v>900.0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39</v>
      </c>
      <c r="D79" s="135">
        <v>1400.0</v>
      </c>
      <c r="E79" s="136">
        <v>1350.0</v>
      </c>
      <c r="F79" s="136">
        <v>0.0</v>
      </c>
      <c r="G79" s="136">
        <v>0.0</v>
      </c>
      <c r="H79" s="136">
        <v>0.0</v>
      </c>
      <c r="I79" s="136">
        <v>1350.0</v>
      </c>
      <c r="J79" s="136">
        <v>0.0</v>
      </c>
      <c r="K79" s="136">
        <v>0.0</v>
      </c>
      <c r="L79" s="136">
        <v>0.0</v>
      </c>
      <c r="M79" s="136">
        <v>0.0</v>
      </c>
      <c r="N79" s="136">
        <v>0.0</v>
      </c>
      <c r="O79" s="136">
        <v>0.0</v>
      </c>
      <c r="P79" s="136">
        <v>0.0</v>
      </c>
      <c r="Q79" s="136">
        <v>0.0</v>
      </c>
      <c r="R79" s="136">
        <v>0.0</v>
      </c>
      <c r="S79" s="137">
        <v>46004.0</v>
      </c>
      <c r="T79" s="137">
        <v>46356.0</v>
      </c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39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46173.0</v>
      </c>
    </row>
    <row r="82" ht="18.0" customHeight="1">
      <c r="A82" s="134" t="s">
        <v>108</v>
      </c>
      <c r="B82" s="134" t="s">
        <v>104</v>
      </c>
      <c r="C82" s="134" t="s">
        <v>47</v>
      </c>
      <c r="D82" s="135">
        <v>1400.0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7"/>
      <c r="T82" s="137"/>
    </row>
    <row r="83" ht="18.0" customHeight="1">
      <c r="A83" s="134" t="s">
        <v>109</v>
      </c>
      <c r="B83" s="134" t="s">
        <v>38</v>
      </c>
      <c r="C83" s="134" t="s">
        <v>39</v>
      </c>
      <c r="D83" s="135">
        <v>1400.0</v>
      </c>
      <c r="E83" s="136">
        <v>1099.0</v>
      </c>
      <c r="F83" s="136">
        <v>0.0</v>
      </c>
      <c r="G83" s="136">
        <v>0.0</v>
      </c>
      <c r="H83" s="136">
        <v>0.0</v>
      </c>
      <c r="I83" s="136">
        <v>1099.0</v>
      </c>
      <c r="J83" s="136">
        <v>0.0</v>
      </c>
      <c r="K83" s="136">
        <v>0.0</v>
      </c>
      <c r="L83" s="136">
        <v>0.0</v>
      </c>
      <c r="M83" s="136">
        <v>0.0</v>
      </c>
      <c r="N83" s="136">
        <v>0.0</v>
      </c>
      <c r="O83" s="136">
        <v>0.0</v>
      </c>
      <c r="P83" s="136">
        <v>0.0</v>
      </c>
      <c r="Q83" s="136">
        <v>0.0</v>
      </c>
      <c r="R83" s="136">
        <v>0.0</v>
      </c>
      <c r="S83" s="137">
        <v>45992.0</v>
      </c>
      <c r="T83" s="137">
        <v>46356.0</v>
      </c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-10.01</v>
      </c>
      <c r="G84" s="136">
        <v>0.0</v>
      </c>
      <c r="H84" s="136">
        <v>0.0</v>
      </c>
      <c r="I84" s="136">
        <v>65.0</v>
      </c>
      <c r="J84" s="136">
        <v>0.0</v>
      </c>
      <c r="K84" s="136">
        <v>0.0</v>
      </c>
      <c r="L84" s="136">
        <v>835.0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39</v>
      </c>
      <c r="D86" s="135">
        <v>1400.0</v>
      </c>
      <c r="E86" s="136">
        <v>1099.0</v>
      </c>
      <c r="F86" s="136">
        <v>496.32</v>
      </c>
      <c r="G86" s="136">
        <v>0.0</v>
      </c>
      <c r="H86" s="136">
        <v>0.0</v>
      </c>
      <c r="I86" s="136">
        <v>1099.0</v>
      </c>
      <c r="J86" s="136">
        <v>0.0</v>
      </c>
      <c r="K86" s="136">
        <v>0.0</v>
      </c>
      <c r="L86" s="136">
        <v>0.0</v>
      </c>
      <c r="M86" s="136">
        <v>0.0</v>
      </c>
      <c r="N86" s="136">
        <v>0.0</v>
      </c>
      <c r="O86" s="136">
        <v>0.0</v>
      </c>
      <c r="P86" s="136">
        <v>0.0</v>
      </c>
      <c r="Q86" s="136">
        <v>0.0</v>
      </c>
      <c r="R86" s="136">
        <v>0.0</v>
      </c>
      <c r="S86" s="137">
        <v>46002.0</v>
      </c>
      <c r="T86" s="137">
        <v>46356.0</v>
      </c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1075.0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1626.4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47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107</v>
      </c>
      <c r="D93" s="135">
        <v>1400.0</v>
      </c>
      <c r="E93" s="136">
        <v>1150.0</v>
      </c>
      <c r="F93" s="136">
        <v>35.0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20.0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443.05</v>
      </c>
      <c r="G95" s="136">
        <v>0.0</v>
      </c>
      <c r="H95" s="136">
        <v>0.0</v>
      </c>
      <c r="I95" s="136">
        <v>371.0</v>
      </c>
      <c r="J95" s="136">
        <v>0.0</v>
      </c>
      <c r="K95" s="136">
        <v>0.0</v>
      </c>
      <c r="L95" s="136">
        <v>529.0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104</v>
      </c>
      <c r="C96" s="134" t="s">
        <v>39</v>
      </c>
      <c r="D96" s="135">
        <v>1400.0</v>
      </c>
      <c r="E96" s="136">
        <v>1365.0</v>
      </c>
      <c r="F96" s="136">
        <v>0.0</v>
      </c>
      <c r="G96" s="136">
        <v>0.0</v>
      </c>
      <c r="H96" s="136">
        <v>0.0</v>
      </c>
      <c r="I96" s="136">
        <v>1350.0</v>
      </c>
      <c r="J96" s="136">
        <v>0.0</v>
      </c>
      <c r="K96" s="136">
        <v>0.0</v>
      </c>
      <c r="L96" s="136">
        <v>0.0</v>
      </c>
      <c r="M96" s="136">
        <v>0.0</v>
      </c>
      <c r="N96" s="136">
        <v>0.0</v>
      </c>
      <c r="O96" s="136">
        <v>0.0</v>
      </c>
      <c r="P96" s="136">
        <v>0.0</v>
      </c>
      <c r="Q96" s="136">
        <v>0.0</v>
      </c>
      <c r="R96" s="136">
        <v>15.0</v>
      </c>
      <c r="S96" s="137">
        <v>46006.0</v>
      </c>
      <c r="T96" s="137">
        <v>46356.0</v>
      </c>
    </row>
    <row r="97" ht="18.0" customHeight="1">
      <c r="A97" s="134" t="s">
        <v>124</v>
      </c>
      <c r="B97" s="134" t="s">
        <v>115</v>
      </c>
      <c r="C97" s="134" t="s">
        <v>178</v>
      </c>
      <c r="D97" s="135">
        <v>1400.0</v>
      </c>
      <c r="E97" s="136">
        <v>1300.0</v>
      </c>
      <c r="F97" s="136">
        <v>5545.0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0.0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1515.0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>
        <v>46356.0</v>
      </c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0.0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297</v>
      </c>
      <c r="D108" s="135">
        <v>1400.0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7"/>
      <c r="T108" s="137"/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39</v>
      </c>
      <c r="D113" s="135">
        <v>1400.0</v>
      </c>
      <c r="E113" s="136">
        <v>1099.0</v>
      </c>
      <c r="F113" s="136">
        <v>1098.0</v>
      </c>
      <c r="G113" s="136">
        <v>0.0</v>
      </c>
      <c r="H113" s="136">
        <v>0.0</v>
      </c>
      <c r="I113" s="136">
        <v>1099.0</v>
      </c>
      <c r="J113" s="136">
        <v>0.0</v>
      </c>
      <c r="K113" s="136">
        <v>0.0</v>
      </c>
      <c r="L113" s="136">
        <v>0.0</v>
      </c>
      <c r="M113" s="136">
        <v>0.0</v>
      </c>
      <c r="N113" s="136">
        <v>0.0</v>
      </c>
      <c r="O113" s="136">
        <v>0.0</v>
      </c>
      <c r="P113" s="136">
        <v>0.0</v>
      </c>
      <c r="Q113" s="136">
        <v>0.0</v>
      </c>
      <c r="R113" s="136">
        <v>0.0</v>
      </c>
      <c r="S113" s="137">
        <v>46031.0</v>
      </c>
      <c r="T113" s="137">
        <v>46387.0</v>
      </c>
    </row>
    <row r="114" ht="18.0" customHeight="1">
      <c r="A114" s="134" t="s">
        <v>141</v>
      </c>
      <c r="B114" s="134" t="s">
        <v>38</v>
      </c>
      <c r="C114" s="134" t="s">
        <v>47</v>
      </c>
      <c r="D114" s="135">
        <v>1400.0</v>
      </c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7"/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1185.0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45992.0</v>
      </c>
      <c r="T115" s="137">
        <v>46356.0</v>
      </c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-108.0</v>
      </c>
      <c r="G116" s="136">
        <v>0.0</v>
      </c>
      <c r="H116" s="136">
        <v>0.0</v>
      </c>
      <c r="I116" s="136">
        <v>125.0</v>
      </c>
      <c r="J116" s="136">
        <v>0.0</v>
      </c>
      <c r="K116" s="136">
        <v>0.0</v>
      </c>
      <c r="L116" s="136">
        <v>850.0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45992.0</v>
      </c>
      <c r="T116" s="137">
        <v>46356.0</v>
      </c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0.0</v>
      </c>
      <c r="G118" s="136">
        <v>0.0</v>
      </c>
      <c r="H118" s="136">
        <v>0.0</v>
      </c>
      <c r="I118" s="136">
        <v>334.0</v>
      </c>
      <c r="J118" s="136">
        <v>0.0</v>
      </c>
      <c r="K118" s="136">
        <v>0.0</v>
      </c>
      <c r="L118" s="136">
        <v>1016.0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74.5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1080.0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1719.5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1400.0</v>
      </c>
      <c r="F125" s="136">
        <v>0.0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50.0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37.5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47</v>
      </c>
      <c r="D128" s="135">
        <v>1400.0</v>
      </c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7"/>
      <c r="T128" s="137"/>
    </row>
    <row r="129" ht="18.0" customHeight="1">
      <c r="A129" s="138" t="s">
        <v>156</v>
      </c>
      <c r="B129" s="138"/>
      <c r="C129" s="138" t="s">
        <v>279</v>
      </c>
      <c r="D129" s="139">
        <v>71400.0</v>
      </c>
      <c r="E129" s="140">
        <v>44297.0</v>
      </c>
      <c r="F129" s="140">
        <v>15832.26</v>
      </c>
      <c r="G129" s="140">
        <v>0.0</v>
      </c>
      <c r="H129" s="140">
        <v>0.0</v>
      </c>
      <c r="I129" s="140">
        <v>37362.0</v>
      </c>
      <c r="J129" s="140">
        <v>0.0</v>
      </c>
      <c r="K129" s="140">
        <v>0.0</v>
      </c>
      <c r="L129" s="140">
        <v>6870.0</v>
      </c>
      <c r="M129" s="140">
        <v>0.0</v>
      </c>
      <c r="N129" s="140">
        <v>0.0</v>
      </c>
      <c r="O129" s="140">
        <v>50.0</v>
      </c>
      <c r="P129" s="140">
        <v>0.0</v>
      </c>
      <c r="Q129" s="140">
        <v>0.0</v>
      </c>
      <c r="R129" s="140">
        <v>15.0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122.0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900.0</v>
      </c>
      <c r="G132" s="136">
        <v>900.0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432.0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0.0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-143.0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0.0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39</v>
      </c>
      <c r="D138" s="135">
        <v>800.0</v>
      </c>
      <c r="E138" s="136">
        <v>740.0</v>
      </c>
      <c r="F138" s="136">
        <v>727.0</v>
      </c>
      <c r="G138" s="136">
        <v>0.0</v>
      </c>
      <c r="H138" s="136">
        <v>0.0</v>
      </c>
      <c r="I138" s="136">
        <v>18.0</v>
      </c>
      <c r="J138" s="136">
        <v>0.0</v>
      </c>
      <c r="K138" s="136">
        <v>0.0</v>
      </c>
      <c r="L138" s="136">
        <v>0.0</v>
      </c>
      <c r="M138" s="136">
        <v>0.0</v>
      </c>
      <c r="N138" s="136">
        <v>707.0</v>
      </c>
      <c r="O138" s="136">
        <v>0.0</v>
      </c>
      <c r="P138" s="136">
        <v>0.0</v>
      </c>
      <c r="Q138" s="136">
        <v>0.0</v>
      </c>
      <c r="R138" s="136">
        <v>15.0</v>
      </c>
      <c r="S138" s="137">
        <v>46031.0</v>
      </c>
      <c r="T138" s="137">
        <v>46395.0</v>
      </c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1050.0</v>
      </c>
      <c r="F139" s="136">
        <v>1210.0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1000.0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>
        <v>46203.0</v>
      </c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204.45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1225.0</v>
      </c>
      <c r="F141" s="136">
        <v>1312.5</v>
      </c>
      <c r="G141" s="136">
        <v>0.0</v>
      </c>
      <c r="H141" s="136">
        <v>50.0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1280.0</v>
      </c>
      <c r="F143" s="136">
        <v>50.0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1200.0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>
        <v>46387.0</v>
      </c>
    </row>
    <row r="144" ht="18.0" customHeight="1">
      <c r="A144" s="134" t="s">
        <v>173</v>
      </c>
      <c r="B144" s="134" t="s">
        <v>168</v>
      </c>
      <c r="C144" s="134" t="s">
        <v>39</v>
      </c>
      <c r="D144" s="135">
        <v>1000.0</v>
      </c>
      <c r="E144" s="136">
        <v>1125.0</v>
      </c>
      <c r="F144" s="136">
        <v>0.0</v>
      </c>
      <c r="G144" s="136">
        <v>0.0</v>
      </c>
      <c r="H144" s="136">
        <v>0.0</v>
      </c>
      <c r="I144" s="136">
        <v>1125.0</v>
      </c>
      <c r="J144" s="136">
        <v>0.0</v>
      </c>
      <c r="K144" s="136">
        <v>0.0</v>
      </c>
      <c r="L144" s="136">
        <v>0.0</v>
      </c>
      <c r="M144" s="136">
        <v>0.0</v>
      </c>
      <c r="N144" s="136">
        <v>0.0</v>
      </c>
      <c r="O144" s="136">
        <v>0.0</v>
      </c>
      <c r="P144" s="136">
        <v>0.0</v>
      </c>
      <c r="Q144" s="136">
        <v>0.0</v>
      </c>
      <c r="R144" s="136">
        <v>0.0</v>
      </c>
      <c r="S144" s="137">
        <v>45996.0</v>
      </c>
      <c r="T144" s="137">
        <v>46356.0</v>
      </c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421.0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46568.0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443.0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0.0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0.0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975.0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>
        <v>46356.0</v>
      </c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1000.0</v>
      </c>
      <c r="F153" s="136">
        <v>-211.0</v>
      </c>
      <c r="G153" s="136">
        <v>0.0</v>
      </c>
      <c r="H153" s="136">
        <v>0.0</v>
      </c>
      <c r="I153" s="136">
        <v>255.0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>
        <v>46387.0</v>
      </c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1733.93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283.0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>
        <v>46418.0</v>
      </c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-35.0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>
        <v>46326.0</v>
      </c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0.0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39</v>
      </c>
      <c r="D159" s="135">
        <v>850.0</v>
      </c>
      <c r="E159" s="136">
        <v>980.0</v>
      </c>
      <c r="F159" s="136">
        <v>0.0</v>
      </c>
      <c r="G159" s="136">
        <v>0.0</v>
      </c>
      <c r="H159" s="136">
        <v>0.0</v>
      </c>
      <c r="I159" s="136">
        <v>965.0</v>
      </c>
      <c r="J159" s="136">
        <v>0.0</v>
      </c>
      <c r="K159" s="136">
        <v>0.0</v>
      </c>
      <c r="L159" s="136">
        <v>0.0</v>
      </c>
      <c r="M159" s="136">
        <v>0.0</v>
      </c>
      <c r="N159" s="136">
        <v>0.0</v>
      </c>
      <c r="O159" s="136">
        <v>0.0</v>
      </c>
      <c r="P159" s="136">
        <v>0.0</v>
      </c>
      <c r="Q159" s="136">
        <v>0.0</v>
      </c>
      <c r="R159" s="136">
        <v>15.0</v>
      </c>
      <c r="S159" s="137">
        <v>46023.0</v>
      </c>
      <c r="T159" s="137">
        <v>46387.0</v>
      </c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0.0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>
        <v>46326.0</v>
      </c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985.5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>
        <v>46387.0</v>
      </c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404.85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11.8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0.0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0.0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47</v>
      </c>
      <c r="D166" s="135">
        <v>850.0</v>
      </c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7"/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46387.0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813.0</v>
      </c>
      <c r="F168" s="136">
        <v>410.0</v>
      </c>
      <c r="G168" s="136">
        <v>0.0</v>
      </c>
      <c r="H168" s="136">
        <v>0.0</v>
      </c>
      <c r="I168" s="136">
        <v>334.0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479.0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46387.0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925.0</v>
      </c>
      <c r="F169" s="136">
        <v>0.0</v>
      </c>
      <c r="G169" s="136">
        <v>0.0</v>
      </c>
      <c r="H169" s="136">
        <v>0.0</v>
      </c>
      <c r="I169" s="136">
        <v>925.0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>
        <v>46387.0</v>
      </c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342</v>
      </c>
      <c r="D171" s="139">
        <v>34800.0</v>
      </c>
      <c r="E171" s="140">
        <v>33959.5</v>
      </c>
      <c r="F171" s="140">
        <v>10237.03</v>
      </c>
      <c r="G171" s="140">
        <v>900.0</v>
      </c>
      <c r="H171" s="140">
        <v>180.0</v>
      </c>
      <c r="I171" s="140">
        <v>16346.0</v>
      </c>
      <c r="J171" s="140">
        <v>0.0</v>
      </c>
      <c r="K171" s="140">
        <v>4541.0</v>
      </c>
      <c r="L171" s="140">
        <v>0.0</v>
      </c>
      <c r="M171" s="140">
        <v>1958.0</v>
      </c>
      <c r="N171" s="140">
        <v>9869.0</v>
      </c>
      <c r="O171" s="140">
        <v>125.0</v>
      </c>
      <c r="P171" s="140">
        <v>0.0</v>
      </c>
      <c r="Q171" s="140">
        <v>0.0</v>
      </c>
      <c r="R171" s="140">
        <v>40.5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820.0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0.0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0.0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670.0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864.75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1162.0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850.0</v>
      </c>
      <c r="F190" s="136">
        <v>-103.48</v>
      </c>
      <c r="G190" s="136">
        <v>0.0</v>
      </c>
      <c r="H190" s="136">
        <v>0.0</v>
      </c>
      <c r="I190" s="136">
        <v>238.0</v>
      </c>
      <c r="J190" s="136">
        <v>0.0</v>
      </c>
      <c r="K190" s="136">
        <v>0.0</v>
      </c>
      <c r="L190" s="136">
        <v>612.0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39</v>
      </c>
      <c r="D192" s="135">
        <v>825.0</v>
      </c>
      <c r="E192" s="136">
        <v>925.0</v>
      </c>
      <c r="F192" s="136">
        <v>0.0</v>
      </c>
      <c r="G192" s="136">
        <v>0.0</v>
      </c>
      <c r="H192" s="136">
        <v>0.0</v>
      </c>
      <c r="I192" s="136">
        <v>925.0</v>
      </c>
      <c r="J192" s="136">
        <v>0.0</v>
      </c>
      <c r="K192" s="136">
        <v>0.0</v>
      </c>
      <c r="L192" s="136">
        <v>0.0</v>
      </c>
      <c r="M192" s="136">
        <v>0.0</v>
      </c>
      <c r="N192" s="136">
        <v>0.0</v>
      </c>
      <c r="O192" s="136">
        <v>0.0</v>
      </c>
      <c r="P192" s="136">
        <v>0.0</v>
      </c>
      <c r="Q192" s="136">
        <v>0.0</v>
      </c>
      <c r="R192" s="136">
        <v>0.0</v>
      </c>
      <c r="S192" s="137">
        <v>46022.0</v>
      </c>
      <c r="T192" s="137">
        <v>46356.0</v>
      </c>
    </row>
    <row r="193" ht="18.0" customHeight="1">
      <c r="A193" s="134" t="s">
        <v>224</v>
      </c>
      <c r="B193" s="134" t="s">
        <v>56</v>
      </c>
      <c r="C193" s="134" t="s">
        <v>39</v>
      </c>
      <c r="D193" s="135">
        <v>750.0</v>
      </c>
      <c r="E193" s="136">
        <v>840.0</v>
      </c>
      <c r="F193" s="136">
        <v>910.0</v>
      </c>
      <c r="G193" s="136">
        <v>0.0</v>
      </c>
      <c r="H193" s="136">
        <v>0.0</v>
      </c>
      <c r="I193" s="136">
        <v>800.0</v>
      </c>
      <c r="J193" s="136">
        <v>0.0</v>
      </c>
      <c r="K193" s="136">
        <v>0.0</v>
      </c>
      <c r="L193" s="136">
        <v>0.0</v>
      </c>
      <c r="M193" s="136">
        <v>0.0</v>
      </c>
      <c r="N193" s="136">
        <v>0.0</v>
      </c>
      <c r="O193" s="136">
        <v>25.0</v>
      </c>
      <c r="P193" s="136">
        <v>0.0</v>
      </c>
      <c r="Q193" s="136">
        <v>0.0</v>
      </c>
      <c r="R193" s="136">
        <v>15.0</v>
      </c>
      <c r="S193" s="137">
        <v>45987.0</v>
      </c>
      <c r="T193" s="137">
        <v>46326.0</v>
      </c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800.0</v>
      </c>
      <c r="F194" s="136">
        <v>0.0</v>
      </c>
      <c r="G194" s="136">
        <v>0.0</v>
      </c>
      <c r="H194" s="136">
        <v>0.0</v>
      </c>
      <c r="I194" s="136">
        <v>800.0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>
        <v>46568.0</v>
      </c>
    </row>
    <row r="195" ht="18.0" customHeight="1">
      <c r="A195" s="138" t="s">
        <v>226</v>
      </c>
      <c r="B195" s="138"/>
      <c r="C195" s="138" t="s">
        <v>44</v>
      </c>
      <c r="D195" s="139">
        <v>17550.0</v>
      </c>
      <c r="E195" s="140">
        <v>18050.0</v>
      </c>
      <c r="F195" s="140">
        <v>4323.27</v>
      </c>
      <c r="G195" s="140">
        <v>0.0</v>
      </c>
      <c r="H195" s="140">
        <v>0.0</v>
      </c>
      <c r="I195" s="140">
        <v>17398.0</v>
      </c>
      <c r="J195" s="140">
        <v>0.0</v>
      </c>
      <c r="K195" s="140">
        <v>0.0</v>
      </c>
      <c r="L195" s="140">
        <v>612.0</v>
      </c>
      <c r="M195" s="140">
        <v>0.0</v>
      </c>
      <c r="N195" s="140">
        <v>0.0</v>
      </c>
      <c r="O195" s="140">
        <v>25.0</v>
      </c>
      <c r="P195" s="140">
        <v>0.0</v>
      </c>
      <c r="Q195" s="140">
        <v>0.0</v>
      </c>
      <c r="R195" s="140">
        <v>15.0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0.0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0.0</v>
      </c>
      <c r="G199" s="136">
        <v>0.0</v>
      </c>
      <c r="H199" s="136">
        <v>225.0</v>
      </c>
      <c r="I199" s="136">
        <v>122.0</v>
      </c>
      <c r="J199" s="136">
        <v>0.0</v>
      </c>
      <c r="K199" s="136">
        <v>0.0</v>
      </c>
      <c r="L199" s="136">
        <v>903.0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1175.0</v>
      </c>
      <c r="F200" s="136">
        <v>336.7</v>
      </c>
      <c r="G200" s="136">
        <v>0.0</v>
      </c>
      <c r="H200" s="136">
        <v>225.0</v>
      </c>
      <c r="I200" s="136">
        <v>950.0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-690.0</v>
      </c>
      <c r="G202" s="136">
        <v>0.0</v>
      </c>
      <c r="H202" s="136">
        <v>225.0</v>
      </c>
      <c r="I202" s="136">
        <v>144.0</v>
      </c>
      <c r="J202" s="136">
        <v>0.0</v>
      </c>
      <c r="K202" s="136">
        <v>0.0</v>
      </c>
      <c r="L202" s="136">
        <v>881.0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1674.51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1220.0</v>
      </c>
      <c r="F207" s="136">
        <v>-0.26</v>
      </c>
      <c r="G207" s="136">
        <v>0.0</v>
      </c>
      <c r="H207" s="136">
        <v>225.0</v>
      </c>
      <c r="I207" s="136">
        <v>199.0</v>
      </c>
      <c r="J207" s="136">
        <v>0.0</v>
      </c>
      <c r="K207" s="136">
        <v>0.0</v>
      </c>
      <c r="L207" s="136">
        <v>796.0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-91.25</v>
      </c>
      <c r="G208" s="136">
        <v>0.0</v>
      </c>
      <c r="H208" s="136">
        <v>225.0</v>
      </c>
      <c r="I208" s="136">
        <v>222.0</v>
      </c>
      <c r="J208" s="136">
        <v>0.0</v>
      </c>
      <c r="K208" s="136">
        <v>0.0</v>
      </c>
      <c r="L208" s="136">
        <v>803.0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1250.0</v>
      </c>
      <c r="F211" s="136">
        <v>-3.0</v>
      </c>
      <c r="G211" s="136">
        <v>0.0</v>
      </c>
      <c r="H211" s="136">
        <v>225.0</v>
      </c>
      <c r="I211" s="136">
        <v>508.0</v>
      </c>
      <c r="J211" s="136">
        <v>0.0</v>
      </c>
      <c r="K211" s="136">
        <v>0.0</v>
      </c>
      <c r="L211" s="136">
        <v>517.0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544.02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0.0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46568.0</v>
      </c>
    </row>
    <row r="217" ht="18.0" customHeight="1">
      <c r="A217" s="134" t="s">
        <v>84</v>
      </c>
      <c r="B217" s="134" t="s">
        <v>38</v>
      </c>
      <c r="C217" s="134" t="s">
        <v>47</v>
      </c>
      <c r="D217" s="135">
        <v>825.0</v>
      </c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7"/>
      <c r="T217" s="137"/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0.0</v>
      </c>
      <c r="G222" s="136">
        <v>0.0</v>
      </c>
      <c r="H222" s="136">
        <v>225.0</v>
      </c>
      <c r="I222" s="136">
        <v>408.0</v>
      </c>
      <c r="J222" s="136">
        <v>0.0</v>
      </c>
      <c r="K222" s="136">
        <v>0.0</v>
      </c>
      <c r="L222" s="136">
        <v>667.0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46265.0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1225.0</v>
      </c>
      <c r="F225" s="136">
        <v>400.0</v>
      </c>
      <c r="G225" s="136">
        <v>0.0</v>
      </c>
      <c r="H225" s="136">
        <v>225.0</v>
      </c>
      <c r="I225" s="136">
        <v>1000.0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>
        <v>46387.0</v>
      </c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1175.0</v>
      </c>
      <c r="F226" s="136">
        <v>0.0</v>
      </c>
      <c r="G226" s="136">
        <v>0.0</v>
      </c>
      <c r="H226" s="136">
        <v>225.0</v>
      </c>
      <c r="I226" s="136">
        <v>950.0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46387.0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48.75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-20.0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46446.0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1019.25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325.4</v>
      </c>
      <c r="G233" s="136">
        <v>0.0</v>
      </c>
      <c r="H233" s="136">
        <v>225.0</v>
      </c>
      <c r="I233" s="136">
        <v>448.0</v>
      </c>
      <c r="J233" s="136">
        <v>0.0</v>
      </c>
      <c r="K233" s="136">
        <v>0.0</v>
      </c>
      <c r="L233" s="136">
        <v>577.0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343.7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47</v>
      </c>
      <c r="D236" s="135">
        <v>825.0</v>
      </c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7"/>
      <c r="T236" s="137"/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-260.0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39</v>
      </c>
      <c r="D238" s="135">
        <v>825.0</v>
      </c>
      <c r="E238" s="136">
        <v>1250.0</v>
      </c>
      <c r="F238" s="136">
        <v>2266.9</v>
      </c>
      <c r="G238" s="136">
        <v>0.0</v>
      </c>
      <c r="H238" s="136">
        <v>225.0</v>
      </c>
      <c r="I238" s="136">
        <v>1025.0</v>
      </c>
      <c r="J238" s="136">
        <v>0.0</v>
      </c>
      <c r="K238" s="136">
        <v>0.0</v>
      </c>
      <c r="L238" s="136">
        <v>0.0</v>
      </c>
      <c r="M238" s="136">
        <v>0.0</v>
      </c>
      <c r="N238" s="136">
        <v>0.0</v>
      </c>
      <c r="O238" s="136">
        <v>0.0</v>
      </c>
      <c r="P238" s="136">
        <v>0.0</v>
      </c>
      <c r="Q238" s="136">
        <v>0.0</v>
      </c>
      <c r="R238" s="136">
        <v>0.0</v>
      </c>
      <c r="S238" s="137">
        <v>45139.0</v>
      </c>
      <c r="T238" s="137">
        <v>45987.0</v>
      </c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-2364.0</v>
      </c>
      <c r="G239" s="136">
        <v>0.0</v>
      </c>
      <c r="H239" s="136">
        <v>125.0</v>
      </c>
      <c r="I239" s="136">
        <v>186.0</v>
      </c>
      <c r="J239" s="136">
        <v>0.0</v>
      </c>
      <c r="K239" s="136">
        <v>0.0</v>
      </c>
      <c r="L239" s="136">
        <v>687.0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1250.0</v>
      </c>
      <c r="F240" s="136">
        <v>-615.8</v>
      </c>
      <c r="G240" s="136">
        <v>0.0</v>
      </c>
      <c r="H240" s="136">
        <v>225.0</v>
      </c>
      <c r="I240" s="136">
        <v>99.0</v>
      </c>
      <c r="J240" s="136">
        <v>0.0</v>
      </c>
      <c r="K240" s="136">
        <v>0.0</v>
      </c>
      <c r="L240" s="136">
        <v>926.0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>
        <v>46302.0</v>
      </c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25.0</v>
      </c>
      <c r="G241" s="136">
        <v>0.0</v>
      </c>
      <c r="H241" s="136">
        <v>225.0</v>
      </c>
      <c r="I241" s="136">
        <v>275.0</v>
      </c>
      <c r="J241" s="136">
        <v>0.0</v>
      </c>
      <c r="K241" s="136">
        <v>0.0</v>
      </c>
      <c r="L241" s="136">
        <v>750.0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-1.1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>
        <v>46387.0</v>
      </c>
    </row>
    <row r="247" ht="18.0" customHeight="1">
      <c r="A247" s="138" t="s">
        <v>244</v>
      </c>
      <c r="B247" s="138"/>
      <c r="C247" s="138" t="s">
        <v>336</v>
      </c>
      <c r="D247" s="139">
        <v>40350.0</v>
      </c>
      <c r="E247" s="140">
        <v>51009.3</v>
      </c>
      <c r="F247" s="140">
        <v>2783.82</v>
      </c>
      <c r="G247" s="140">
        <v>0.0</v>
      </c>
      <c r="H247" s="140">
        <v>8645.8</v>
      </c>
      <c r="I247" s="140">
        <v>33106.5</v>
      </c>
      <c r="J247" s="140">
        <v>0.0</v>
      </c>
      <c r="K247" s="140">
        <v>0.0</v>
      </c>
      <c r="L247" s="140">
        <v>9167.0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700.0</v>
      </c>
      <c r="F249" s="136">
        <v>531.67</v>
      </c>
      <c r="G249" s="136">
        <v>0.0</v>
      </c>
      <c r="H249" s="136">
        <v>0.0</v>
      </c>
      <c r="I249" s="136">
        <v>215.0</v>
      </c>
      <c r="J249" s="136">
        <v>485.0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0.0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46081.0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0.0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452.1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46477.0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60.44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0.0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0.0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0.0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46477.0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-57.07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0.0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0.0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808.94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398.54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178</v>
      </c>
      <c r="D262" s="135">
        <v>675.0</v>
      </c>
      <c r="E262" s="136">
        <v>775.0</v>
      </c>
      <c r="F262" s="136">
        <v>2211.14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700.0</v>
      </c>
      <c r="F263" s="136">
        <v>460.08</v>
      </c>
      <c r="G263" s="136">
        <v>0.0</v>
      </c>
      <c r="H263" s="136">
        <v>0.0</v>
      </c>
      <c r="I263" s="136">
        <v>700.0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>
        <v>46356.0</v>
      </c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0.0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46447.0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-36.83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280.94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0.0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46403.0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0.0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46418.0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675.0</v>
      </c>
      <c r="F269" s="136">
        <v>-71.01</v>
      </c>
      <c r="G269" s="136">
        <v>0.0</v>
      </c>
      <c r="H269" s="136">
        <v>0.0</v>
      </c>
      <c r="I269" s="136">
        <v>675.0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0.0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60.0</v>
      </c>
      <c r="G271" s="136">
        <v>0.0</v>
      </c>
      <c r="H271" s="136">
        <v>0.0</v>
      </c>
      <c r="I271" s="136">
        <v>56.0</v>
      </c>
      <c r="J271" s="136">
        <v>694.0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46029.0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0.0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46326.0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-582.0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291.47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0.0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750.0</v>
      </c>
      <c r="F276" s="136">
        <v>0.0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0.0</v>
      </c>
      <c r="S276" s="137">
        <v>44742.0</v>
      </c>
      <c r="T276" s="137">
        <v>46356.0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-1.0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1611.35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46294.0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22200.0</v>
      </c>
      <c r="F279" s="140">
        <v>6418.76</v>
      </c>
      <c r="G279" s="140">
        <v>0.0</v>
      </c>
      <c r="H279" s="140">
        <v>0.0</v>
      </c>
      <c r="I279" s="140">
        <v>18919.0</v>
      </c>
      <c r="J279" s="140">
        <v>3231.0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0.0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202</v>
      </c>
      <c r="D281" s="139">
        <v>229909.0</v>
      </c>
      <c r="E281" s="140">
        <v>211975.8</v>
      </c>
      <c r="F281" s="140">
        <v>57519.74</v>
      </c>
      <c r="G281" s="140">
        <v>900.0</v>
      </c>
      <c r="H281" s="140">
        <v>8825.8</v>
      </c>
      <c r="I281" s="140">
        <v>162556.5</v>
      </c>
      <c r="J281" s="140">
        <v>4159.0</v>
      </c>
      <c r="K281" s="140">
        <v>4541.0</v>
      </c>
      <c r="L281" s="140">
        <v>18616.0</v>
      </c>
      <c r="M281" s="140">
        <v>1958.0</v>
      </c>
      <c r="N281" s="140">
        <v>9869.0</v>
      </c>
      <c r="O281" s="140">
        <v>425.0</v>
      </c>
      <c r="P281" s="140">
        <v>25.0</v>
      </c>
      <c r="Q281" s="140">
        <v>15.0</v>
      </c>
      <c r="R281" s="140">
        <v>85.5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0.9184081633</v>
      </c>
      <c r="D282" s="145">
        <f t="shared" ref="D282:D284" si="2">IFERROR(
  SUMPRODUCT((A$285:A$295=A282)*D$285:D$295*I$285:I$295) /
  SUMPRODUCT((A$285:A$295=A282)*I$285:I$295),
0)</f>
        <v>0.8211325818</v>
      </c>
      <c r="E282" s="146">
        <f t="shared" ref="E282:E284" si="3">IFERROR(
  SUMPRODUCT((A$285:A$295=A282)*E$285:E$295),
0)
</f>
        <v>5341.23</v>
      </c>
      <c r="F282" s="147">
        <f t="shared" ref="F282:F284" si="4">IFERROR(
  SUMPRODUCT((A$285:A$295=A282)*F$285:F$295),
0)
</f>
        <v>9688.97</v>
      </c>
      <c r="G282" s="148">
        <f t="shared" ref="G282:G284" si="5">IFERROR(
  SUMPRODUCT((A$285:A$295=A282)*G$285:G$295),
0)
</f>
        <v>3</v>
      </c>
      <c r="H282" s="149">
        <f t="shared" ref="H282:H284" si="6">IFERROR(
  SUMPRODUCT((A$285:A$295=A282)*H$285:H$295*I$285:I$295) /
  SUMPRODUCT((A$285:A$295=A282)*I$285:I$295),
0)</f>
        <v>0.8418367347</v>
      </c>
    </row>
    <row r="283" ht="18.0" customHeight="1">
      <c r="A283" s="196" t="s">
        <v>251</v>
      </c>
      <c r="B283" s="153"/>
      <c r="C283" s="154">
        <f t="shared" si="1"/>
        <v>0.8474519774</v>
      </c>
      <c r="D283" s="155">
        <f t="shared" si="2"/>
        <v>0.7800576415</v>
      </c>
      <c r="E283" s="156">
        <f t="shared" si="3"/>
        <v>30242.44</v>
      </c>
      <c r="F283" s="157">
        <f t="shared" si="4"/>
        <v>43507.5</v>
      </c>
      <c r="G283" s="158">
        <f t="shared" si="5"/>
        <v>2</v>
      </c>
      <c r="H283" s="149">
        <f t="shared" si="6"/>
        <v>0.7784495489</v>
      </c>
    </row>
    <row r="284" ht="18.0" customHeight="1">
      <c r="A284" s="160" t="s">
        <v>252</v>
      </c>
      <c r="B284" s="161"/>
      <c r="C284" s="162">
        <f t="shared" si="1"/>
        <v>1</v>
      </c>
      <c r="D284" s="163">
        <f t="shared" si="2"/>
        <v>0.7698393391</v>
      </c>
      <c r="E284" s="164">
        <f t="shared" si="3"/>
        <v>3756.52</v>
      </c>
      <c r="F284" s="165">
        <f t="shared" si="4"/>
        <v>4323.27</v>
      </c>
      <c r="G284" s="166">
        <f t="shared" si="5"/>
        <v>0</v>
      </c>
      <c r="H284" s="149">
        <f t="shared" si="6"/>
        <v>0.6818181818</v>
      </c>
    </row>
    <row r="285" ht="18.0" customHeight="1">
      <c r="A285" s="187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"),0.75)</f>
        <v>0.75</v>
      </c>
      <c r="D285" s="172">
        <f t="array" ref="D285">SUM(MAP(E11:E14, F11:F14, LAMBDA(e,f, MAX(0, e-f)))) / SUM(E11:E14)
</f>
        <v>0.8931623932</v>
      </c>
      <c r="E285" s="173">
        <f t="array" ref="E285">SUM(MAP(E$11:E$14, F$11:F$14, LAMBDA(e,f, MIN(e, f))))
</f>
        <v>312.5</v>
      </c>
      <c r="F285" s="174">
        <f>F15</f>
        <v>312.5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"),1.0)</f>
        <v>1</v>
      </c>
      <c r="I285" s="175">
        <v>4.0</v>
      </c>
      <c r="J285" s="177">
        <v>46340.0</v>
      </c>
    </row>
    <row r="286" ht="18.0" customHeight="1">
      <c r="A286" s="187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1</v>
      </c>
      <c r="E286" s="173">
        <f t="array" ref="E286">SUM(MAP(E$17:E$22, F$17:F$22, LAMBDA(e,f, MIN(e, f))))
</f>
        <v>0</v>
      </c>
      <c r="F286" s="174">
        <f>F23</f>
        <v>0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"),0.75)</f>
        <v>0.75</v>
      </c>
      <c r="I286" s="175">
        <v>6.0</v>
      </c>
      <c r="J286" s="179" t="s">
        <v>255</v>
      </c>
    </row>
    <row r="287" ht="18.0" customHeight="1">
      <c r="A287" s="187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"),0.8)</f>
        <v>0.8</v>
      </c>
      <c r="D287" s="172">
        <f t="array" ref="D287">SUM(MAP(E25:E29, F25:F29, LAMBDA(e, f, MAX(0, e - f)))) / SUM(E25:E29)</f>
        <v>0.7521367521</v>
      </c>
      <c r="E287" s="173">
        <f t="array" ref="E287">SUM(MAP(E$25:E$29, F$25:F$29, LAMBDA(e,f, MIN(e, f))))
</f>
        <v>725</v>
      </c>
      <c r="F287" s="174">
        <f>F30</f>
        <v>2800.25</v>
      </c>
      <c r="G287" s="175">
        <f>IFERROR(__xludf.DUMMYFUNCTION("SUMPRODUCT(--(C25:C29&lt;&gt;""Vacant-Unrented""),--(C25:C29&lt;&gt;""Vacant-Rented""),--((N(W25:W29)&gt;N(X25:X29))+N(REGEXMATCH(LOWER(C25:C29),""evict""))&gt;0))"),1.0)</f>
        <v>1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"),0.75)</f>
        <v>0.75</v>
      </c>
      <c r="I287" s="175">
        <v>5.0</v>
      </c>
      <c r="J287" s="179" t="s">
        <v>257</v>
      </c>
    </row>
    <row r="288" ht="18.0" customHeight="1">
      <c r="A288" s="187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0.8950266667</v>
      </c>
      <c r="E288" s="173">
        <f t="array" ref="E288">SUM(MAP(E$32:E$33, F$32:F$33, LAMBDA(e,f, MIN(e, f))))
</f>
        <v>157.46</v>
      </c>
      <c r="F288" s="174">
        <f>F34</f>
        <v>157.46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  <c r="J288" s="179" t="s">
        <v>259</v>
      </c>
    </row>
    <row r="289" ht="18.0" customHeight="1">
      <c r="A289" s="187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1</v>
      </c>
      <c r="E289" s="173">
        <f t="array" ref="E289">SUM(MAP(E$36:E$37, F$36:F$37, LAMBDA(e,f, MIN(e, f))))
</f>
        <v>0</v>
      </c>
      <c r="F289" s="174">
        <f>F38</f>
        <v>0</v>
      </c>
      <c r="G289" s="175">
        <f>IFERROR(__xludf.DUMMYFUNCTION("SUMPRODUCT(--(C40:C75&lt;&gt;""Vacant-Unrented""),--(C40:C75&lt;&gt;""Vacant-Rented""),--((N(W40:W75)&gt;N(X40:X75))+N(REGEXMATCH(LOWER(C40:C75),""evict""))&gt;0))"),1.0)</f>
        <v>1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  <c r="J289" s="179" t="s">
        <v>261</v>
      </c>
    </row>
    <row r="290" ht="18.0" customHeight="1">
      <c r="A290" s="179" t="s">
        <v>251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0.6744594455</v>
      </c>
      <c r="E290" s="173">
        <f t="array" ref="E290">SUM(MAP(E$40:E$75, F$40:F$75, LAMBDA(e,f, MIN(e, f))))
</f>
        <v>9452.07</v>
      </c>
      <c r="F290" s="174">
        <f>F76</f>
        <v>14654.39</v>
      </c>
      <c r="G290" s="175">
        <f>IFERROR(__xludf.DUMMYFUNCTION("SUMPRODUCT(--(C40:C75&lt;&gt;""Vacant-Unrented""),--(C40:C75&lt;&gt;""Vacant-Rented""),--((N(W40:W75)&gt;N(X40:X75))+N(REGEXMATCH(LOWER(C40:C75),""evict""))&gt;0))"),1.0)</f>
        <v>1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"),0.75)</f>
        <v>0.75</v>
      </c>
      <c r="I290" s="175">
        <v>36.0</v>
      </c>
      <c r="J290" s="179" t="s">
        <v>263</v>
      </c>
    </row>
    <row r="291" ht="18.0" customHeight="1">
      <c r="A291" s="187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"),0.745)</f>
        <v>0.745</v>
      </c>
      <c r="D291" s="172">
        <f t="array" ref="D291">SUM(MAP(E79:E129, F79:F129, LAMBDA(e,f, MAX(0, e-f)))) / SUM(E79:E129)
</f>
        <v>0.7005083586</v>
      </c>
      <c r="E291" s="173">
        <f t="array" ref="E291">SUM(MAP(E$78:E$128, F$78:F$128, LAMBDA(e,f, MIN(e, f))))
</f>
        <v>10431.36</v>
      </c>
      <c r="F291" s="174">
        <f>F129</f>
        <v>15832.26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"),1.0)</f>
        <v>1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"),0.8947368421052632)</f>
        <v>0.8947368421</v>
      </c>
      <c r="I291" s="175">
        <v>51.0</v>
      </c>
      <c r="J291" s="179" t="s">
        <v>265</v>
      </c>
    </row>
    <row r="292" ht="18.0" customHeight="1">
      <c r="A292" s="179" t="s">
        <v>251</v>
      </c>
      <c r="B292" s="170" t="s">
        <v>266</v>
      </c>
      <c r="C292" s="171">
        <f>IFERROR(__xludf.DUMMYFUNCTION("IF(ISNUMBER(SEARCH(""%"",C171)), VALUE(REGEXREPLACE(C171,""[^0-9.]"",""""))/100, VALUE(REGEXREPLACE(C171,""[^0-9.]"","""")))
"),0.925)</f>
        <v>0.925</v>
      </c>
      <c r="D292" s="172">
        <f t="array" ref="D292">SUM(MAP(E131:E170, F131:F170, LAMBDA(e,f, MAX(0, e-f)))) / SUM(E131:E170)
</f>
        <v>0.7344896126</v>
      </c>
      <c r="E292" s="173">
        <f t="array" ref="E292">SUM(MAP(E$131:E$170, F$131:F$170, LAMBDA(e,f, MIN(e, f))))
</f>
        <v>9016.6</v>
      </c>
      <c r="F292" s="174">
        <f>F171</f>
        <v>10237.03</v>
      </c>
      <c r="G292" s="175">
        <f>IFERROR(__xludf.DUMMYFUNCTION("SUMPRODUCT(--(C131:C170&lt;&gt;""Vacant-Unrented""),--(C131:C170&lt;&gt;""Vacant-Rented""),--((N(W131:W170)&gt;N(X131:X170))+N(REGEXMATCH(LOWER(C131:C170),""evict""))&gt;0))"),0.0)</f>
        <v>0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"),0.7567567567567568)</f>
        <v>0.7567567568</v>
      </c>
      <c r="I292" s="175">
        <v>40.0</v>
      </c>
      <c r="J292" s="179" t="s">
        <v>267</v>
      </c>
    </row>
    <row r="293" ht="18.0" customHeight="1">
      <c r="A293" s="197" t="s">
        <v>252</v>
      </c>
      <c r="B293" s="170" t="s">
        <v>268</v>
      </c>
      <c r="C293" s="171">
        <f>IFERROR(__xludf.DUMMYFUNCTION("IF(ISNUMBER(SEARCH(""%"",C195)), VALUE(REGEXREPLACE(C195,""[^0-9.]"",""""))/100, VALUE(REGEXREPLACE(C195,""[^0-9.]"","""")))
"),1.0)</f>
        <v>1</v>
      </c>
      <c r="D293" s="172">
        <f t="array" ref="D293">SUM(MAP(E174:E195, F174:F195, LAMBDA(e,f, MAX(0, e-f)))) / SUM(E174:E195)
</f>
        <v>0.7698393391</v>
      </c>
      <c r="E293" s="173">
        <f t="array" ref="E293">SUM(MAP(E$173:E$194, F$173:F$194, LAMBDA(e,f, MIN(e, f))))
</f>
        <v>3756.52</v>
      </c>
      <c r="F293" s="174">
        <f>F195</f>
        <v>4323.27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"),0.6818181818181818)</f>
        <v>0.6818181818</v>
      </c>
      <c r="I293" s="175">
        <v>22.0</v>
      </c>
      <c r="J293" s="179" t="s">
        <v>269</v>
      </c>
    </row>
    <row r="294" ht="18.0" customHeight="1">
      <c r="A294" s="179" t="s">
        <v>251</v>
      </c>
      <c r="B294" s="170" t="s">
        <v>270</v>
      </c>
      <c r="C294" s="171">
        <f>IFERROR(__xludf.DUMMYFUNCTION("IF(ISNUMBER(SEARCH(""%"",C247)), VALUE(REGEXREPLACE(C247,""[^0-9.]"",""""))/100, VALUE(REGEXREPLACE(C247,""[^0-9.]"","""")))
"),0.86)</f>
        <v>0.86</v>
      </c>
      <c r="D294" s="172">
        <f t="array" ref="D294">SUM(MAP(E197:E246, F197:F246, LAMBDA(e,f, MAX(0, e-f)))) / SUM(E197:E246)
</f>
        <v>0.9736830343</v>
      </c>
      <c r="E294" s="173">
        <f t="array" ref="E294">SUM(MAP(E$197:E$246, F$197:F$246, LAMBDA(e,f, MIN(e, f))))
</f>
        <v>1342.41</v>
      </c>
      <c r="F294" s="174">
        <f>F247</f>
        <v>2783.82</v>
      </c>
      <c r="G294" s="175">
        <f>IFERROR(__xludf.DUMMYFUNCTION("SUMPRODUCT(--(C197:C246&lt;&gt;""Vacant-Unrented""),--(C197:C246&lt;&gt;""Vacant-Rented""),--((N(W197:W246)&gt;N(X197:X246))+N(REGEXMATCH(LOWER(C197:C246),""evict""))&gt;0))"),0.0)</f>
        <v>0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"),0.6976744186046512)</f>
        <v>0.6976744186</v>
      </c>
      <c r="I294" s="175">
        <v>50.0</v>
      </c>
      <c r="J294" s="179" t="s">
        <v>271</v>
      </c>
    </row>
    <row r="295" ht="18.0" customHeight="1">
      <c r="A295" s="179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0.7704036613</v>
      </c>
      <c r="E295" s="183">
        <f t="array" ref="E295">SUM(MAP(E$249:E$278, F$249:F$278, LAMBDA(e,f, MIN(e, f))))
</f>
        <v>4146.27</v>
      </c>
      <c r="F295" s="184">
        <f>F279</f>
        <v>6418.76</v>
      </c>
      <c r="G295" s="185">
        <f>IFERROR(__xludf.DUMMYFUNCTION("SUMPRODUCT(--(C249:C278&lt;&gt;""Vacant-Unrented""),--(C249:C278&lt;&gt;""Vacant-Rented""),--((N(W249:W278)&gt;N(X249:X278))+N(REGEXMATCH(LOWER(C249:C278),""evict""))&gt;0))"),1.0)</f>
        <v>1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"),0.8333333333333334)</f>
        <v>0.8333333333</v>
      </c>
      <c r="I295" s="175">
        <v>30.0</v>
      </c>
      <c r="J295" s="179" t="s">
        <v>273</v>
      </c>
    </row>
    <row r="296" ht="18.0" customHeight="1">
      <c r="A296" s="187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0)"),0.8758022813688213)</f>
        <v>0.8758022814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"),0.8144118809788662)</f>
        <v>0.814411881</v>
      </c>
      <c r="E296" s="190">
        <f t="shared" ref="E296:G296" si="7">sum(E285:E295)</f>
        <v>39340.19</v>
      </c>
      <c r="F296" s="190">
        <f t="shared" si="7"/>
        <v>57519.74</v>
      </c>
      <c r="G296" s="191">
        <f t="shared" si="7"/>
        <v>5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"),0.7788018433179723)</f>
        <v>0.7788018433</v>
      </c>
      <c r="I296" s="193"/>
      <c r="J296" s="194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5"/>
    <col customWidth="1" min="7" max="7" width="31.25"/>
    <col customWidth="1" min="8" max="8" width="12.38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30" width="8.63"/>
  </cols>
  <sheetData>
    <row r="1" ht="18.0" customHeight="1">
      <c r="A1" s="128" t="s">
        <v>10</v>
      </c>
    </row>
    <row r="2" ht="18.0" customHeight="1">
      <c r="A2" s="130" t="s">
        <v>353</v>
      </c>
    </row>
    <row r="3" ht="18.0" customHeight="1">
      <c r="A3" s="130"/>
    </row>
    <row r="4" ht="18.0" customHeight="1">
      <c r="A4" s="131" t="s">
        <v>354</v>
      </c>
    </row>
    <row r="5" ht="18.0" customHeight="1">
      <c r="A5" s="131" t="s">
        <v>355</v>
      </c>
    </row>
    <row r="6" ht="18.0" customHeight="1">
      <c r="A6" s="131" t="s">
        <v>356</v>
      </c>
    </row>
    <row r="7" ht="18.0" customHeight="1">
      <c r="A7" s="131" t="s">
        <v>357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352.5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0.0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47</v>
      </c>
      <c r="D14" s="135">
        <v>950.0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7"/>
      <c r="T14" s="137"/>
    </row>
    <row r="15" ht="18.0" customHeight="1">
      <c r="A15" s="138" t="s">
        <v>43</v>
      </c>
      <c r="B15" s="138"/>
      <c r="C15" s="138" t="s">
        <v>313</v>
      </c>
      <c r="D15" s="139">
        <v>3800.0</v>
      </c>
      <c r="E15" s="140">
        <v>2925.0</v>
      </c>
      <c r="F15" s="140">
        <v>352.5</v>
      </c>
      <c r="G15" s="140">
        <v>0.0</v>
      </c>
      <c r="H15" s="140">
        <v>0.0</v>
      </c>
      <c r="I15" s="140">
        <v>2532.0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46443.0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950.0</v>
      </c>
      <c r="F22" s="136">
        <v>0.0</v>
      </c>
      <c r="G22" s="136">
        <v>0.0</v>
      </c>
      <c r="H22" s="136">
        <v>0.0</v>
      </c>
      <c r="I22" s="136">
        <v>925.0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25.0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3675.0</v>
      </c>
      <c r="F23" s="140">
        <v>0.0</v>
      </c>
      <c r="G23" s="140">
        <v>0.0</v>
      </c>
      <c r="H23" s="140">
        <v>0.0</v>
      </c>
      <c r="I23" s="140">
        <v>3065.0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50.0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297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178</v>
      </c>
      <c r="D28" s="135">
        <v>621.0</v>
      </c>
      <c r="E28" s="136">
        <v>725.0</v>
      </c>
      <c r="F28" s="136">
        <v>2840.25</v>
      </c>
      <c r="G28" s="136">
        <f t="array" ref="G28">SUM(BYROW(E25:E29, LAMBDA(r, MIN(r, INDEX(F25:F29,ROW(r)-ROW(E25)+1)))))</f>
        <v>725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46431.0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2840.25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850.0</v>
      </c>
      <c r="F32" s="136">
        <v>113.95</v>
      </c>
      <c r="G32" s="136">
        <v>0.0</v>
      </c>
      <c r="H32" s="136">
        <v>0.0</v>
      </c>
      <c r="I32" s="136">
        <v>850.0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123.51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1500.0</v>
      </c>
      <c r="F34" s="140">
        <v>237.46</v>
      </c>
      <c r="G34" s="140">
        <v>0.0</v>
      </c>
      <c r="H34" s="140">
        <v>0.0</v>
      </c>
      <c r="I34" s="140">
        <v>1500.0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1146.25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46356.0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46400.0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46023.0</v>
      </c>
      <c r="T44" s="137">
        <v>46568.0</v>
      </c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2372.5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46568.0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46418.0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1146.25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46355.0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1015.0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850.0</v>
      </c>
      <c r="F54" s="136">
        <v>0.0</v>
      </c>
      <c r="G54" s="136">
        <v>0.0</v>
      </c>
      <c r="H54" s="136">
        <v>0.0</v>
      </c>
      <c r="I54" s="136">
        <v>850.0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46387.0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850.0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46446.0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800.0</v>
      </c>
      <c r="F58" s="136">
        <v>0.0</v>
      </c>
      <c r="G58" s="136">
        <v>0.0</v>
      </c>
      <c r="H58" s="136">
        <v>0.0</v>
      </c>
      <c r="I58" s="136">
        <v>800.0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46387.0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1025.0</v>
      </c>
      <c r="F60" s="136">
        <v>402.88</v>
      </c>
      <c r="G60" s="136">
        <v>0.0</v>
      </c>
      <c r="H60" s="136">
        <v>0.0</v>
      </c>
      <c r="I60" s="136">
        <v>0.0</v>
      </c>
      <c r="J60" s="136">
        <v>0.0</v>
      </c>
      <c r="K60" s="136">
        <v>0.0</v>
      </c>
      <c r="L60" s="136">
        <v>1025.0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0.0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178</v>
      </c>
      <c r="D65" s="135">
        <v>700.0</v>
      </c>
      <c r="E65" s="136">
        <v>825.0</v>
      </c>
      <c r="F65" s="136">
        <v>3213.75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910.0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46442.0</v>
      </c>
    </row>
    <row r="68" ht="18.0" customHeight="1">
      <c r="A68" s="134" t="s">
        <v>91</v>
      </c>
      <c r="B68" s="134" t="s">
        <v>38</v>
      </c>
      <c r="C68" s="134" t="s">
        <v>107</v>
      </c>
      <c r="D68" s="135">
        <v>950.0</v>
      </c>
      <c r="E68" s="136">
        <v>800.0</v>
      </c>
      <c r="F68" s="136">
        <v>910.0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1983.57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800.0</v>
      </c>
      <c r="F70" s="136">
        <v>0.0</v>
      </c>
      <c r="G70" s="136">
        <v>0.0</v>
      </c>
      <c r="H70" s="136">
        <v>0.0</v>
      </c>
      <c r="I70" s="136">
        <v>800.0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1025.0</v>
      </c>
      <c r="F72" s="136">
        <v>-75.81</v>
      </c>
      <c r="G72" s="136">
        <v>0.0</v>
      </c>
      <c r="H72" s="136">
        <v>0.0</v>
      </c>
      <c r="I72" s="136">
        <v>83.0</v>
      </c>
      <c r="J72" s="136">
        <v>0.0</v>
      </c>
      <c r="K72" s="136">
        <v>0.0</v>
      </c>
      <c r="L72" s="136">
        <v>942.0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1067.5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46643.0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29035.0</v>
      </c>
      <c r="F76" s="140">
        <v>14941.89</v>
      </c>
      <c r="G76" s="140">
        <v>0.0</v>
      </c>
      <c r="H76" s="140">
        <v>0.0</v>
      </c>
      <c r="I76" s="140">
        <v>27003.0</v>
      </c>
      <c r="J76" s="140">
        <v>0.0</v>
      </c>
      <c r="K76" s="140">
        <v>0.0</v>
      </c>
      <c r="L76" s="140">
        <v>1967.0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900.0</v>
      </c>
      <c r="F78" s="136">
        <v>0.0</v>
      </c>
      <c r="G78" s="136">
        <v>0.0</v>
      </c>
      <c r="H78" s="136">
        <v>0.0</v>
      </c>
      <c r="I78" s="136">
        <v>0.0</v>
      </c>
      <c r="J78" s="136">
        <v>0.0</v>
      </c>
      <c r="K78" s="136">
        <v>0.0</v>
      </c>
      <c r="L78" s="136">
        <v>900.0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39</v>
      </c>
      <c r="D79" s="135">
        <v>1400.0</v>
      </c>
      <c r="E79" s="136">
        <v>1350.0</v>
      </c>
      <c r="F79" s="136">
        <v>0.0</v>
      </c>
      <c r="G79" s="136">
        <v>0.0</v>
      </c>
      <c r="H79" s="136">
        <v>0.0</v>
      </c>
      <c r="I79" s="136">
        <v>1350.0</v>
      </c>
      <c r="J79" s="136">
        <v>0.0</v>
      </c>
      <c r="K79" s="136">
        <v>0.0</v>
      </c>
      <c r="L79" s="136">
        <v>0.0</v>
      </c>
      <c r="M79" s="136">
        <v>0.0</v>
      </c>
      <c r="N79" s="136">
        <v>0.0</v>
      </c>
      <c r="O79" s="136">
        <v>0.0</v>
      </c>
      <c r="P79" s="136">
        <v>0.0</v>
      </c>
      <c r="Q79" s="136">
        <v>0.0</v>
      </c>
      <c r="R79" s="136">
        <v>0.0</v>
      </c>
      <c r="S79" s="137">
        <v>46004.0</v>
      </c>
      <c r="T79" s="137">
        <v>46356.0</v>
      </c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39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46173.0</v>
      </c>
    </row>
    <row r="82" ht="18.0" customHeight="1">
      <c r="A82" s="134" t="s">
        <v>108</v>
      </c>
      <c r="B82" s="134" t="s">
        <v>104</v>
      </c>
      <c r="C82" s="134" t="s">
        <v>47</v>
      </c>
      <c r="D82" s="135">
        <v>1400.0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7"/>
      <c r="T82" s="137"/>
    </row>
    <row r="83" ht="18.0" customHeight="1">
      <c r="A83" s="134" t="s">
        <v>109</v>
      </c>
      <c r="B83" s="134" t="s">
        <v>38</v>
      </c>
      <c r="C83" s="134" t="s">
        <v>39</v>
      </c>
      <c r="D83" s="135">
        <v>1400.0</v>
      </c>
      <c r="E83" s="136">
        <v>1099.0</v>
      </c>
      <c r="F83" s="136">
        <v>0.0</v>
      </c>
      <c r="G83" s="136">
        <v>0.0</v>
      </c>
      <c r="H83" s="136">
        <v>0.0</v>
      </c>
      <c r="I83" s="136">
        <v>1099.0</v>
      </c>
      <c r="J83" s="136">
        <v>0.0</v>
      </c>
      <c r="K83" s="136">
        <v>0.0</v>
      </c>
      <c r="L83" s="136">
        <v>0.0</v>
      </c>
      <c r="M83" s="136">
        <v>0.0</v>
      </c>
      <c r="N83" s="136">
        <v>0.0</v>
      </c>
      <c r="O83" s="136">
        <v>0.0</v>
      </c>
      <c r="P83" s="136">
        <v>0.0</v>
      </c>
      <c r="Q83" s="136">
        <v>0.0</v>
      </c>
      <c r="R83" s="136">
        <v>0.0</v>
      </c>
      <c r="S83" s="137">
        <v>45992.0</v>
      </c>
      <c r="T83" s="137">
        <v>46356.0</v>
      </c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-10.01</v>
      </c>
      <c r="G84" s="136">
        <v>0.0</v>
      </c>
      <c r="H84" s="136">
        <v>0.0</v>
      </c>
      <c r="I84" s="136">
        <v>65.0</v>
      </c>
      <c r="J84" s="136">
        <v>0.0</v>
      </c>
      <c r="K84" s="136">
        <v>0.0</v>
      </c>
      <c r="L84" s="136">
        <v>835.0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39</v>
      </c>
      <c r="D86" s="135">
        <v>1400.0</v>
      </c>
      <c r="E86" s="136">
        <v>1099.0</v>
      </c>
      <c r="F86" s="136">
        <v>496.32</v>
      </c>
      <c r="G86" s="136">
        <v>0.0</v>
      </c>
      <c r="H86" s="136">
        <v>0.0</v>
      </c>
      <c r="I86" s="136">
        <v>1099.0</v>
      </c>
      <c r="J86" s="136">
        <v>0.0</v>
      </c>
      <c r="K86" s="136">
        <v>0.0</v>
      </c>
      <c r="L86" s="136">
        <v>0.0</v>
      </c>
      <c r="M86" s="136">
        <v>0.0</v>
      </c>
      <c r="N86" s="136">
        <v>0.0</v>
      </c>
      <c r="O86" s="136">
        <v>0.0</v>
      </c>
      <c r="P86" s="136">
        <v>0.0</v>
      </c>
      <c r="Q86" s="136">
        <v>0.0</v>
      </c>
      <c r="R86" s="136">
        <v>0.0</v>
      </c>
      <c r="S86" s="137">
        <v>46002.0</v>
      </c>
      <c r="T86" s="137">
        <v>46356.0</v>
      </c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100.0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1666.4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47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107</v>
      </c>
      <c r="D93" s="135">
        <v>1400.0</v>
      </c>
      <c r="E93" s="136">
        <v>1150.0</v>
      </c>
      <c r="F93" s="136">
        <v>35.0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20.0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483.05</v>
      </c>
      <c r="G95" s="136">
        <v>0.0</v>
      </c>
      <c r="H95" s="136">
        <v>0.0</v>
      </c>
      <c r="I95" s="136">
        <v>371.0</v>
      </c>
      <c r="J95" s="136">
        <v>0.0</v>
      </c>
      <c r="K95" s="136">
        <v>0.0</v>
      </c>
      <c r="L95" s="136">
        <v>529.0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104</v>
      </c>
      <c r="C96" s="134" t="s">
        <v>39</v>
      </c>
      <c r="D96" s="135">
        <v>1400.0</v>
      </c>
      <c r="E96" s="136">
        <v>1365.0</v>
      </c>
      <c r="F96" s="136">
        <v>0.0</v>
      </c>
      <c r="G96" s="136">
        <v>0.0</v>
      </c>
      <c r="H96" s="136">
        <v>0.0</v>
      </c>
      <c r="I96" s="136">
        <v>1350.0</v>
      </c>
      <c r="J96" s="136">
        <v>0.0</v>
      </c>
      <c r="K96" s="136">
        <v>0.0</v>
      </c>
      <c r="L96" s="136">
        <v>0.0</v>
      </c>
      <c r="M96" s="136">
        <v>0.0</v>
      </c>
      <c r="N96" s="136">
        <v>0.0</v>
      </c>
      <c r="O96" s="136">
        <v>0.0</v>
      </c>
      <c r="P96" s="136">
        <v>0.0</v>
      </c>
      <c r="Q96" s="136">
        <v>0.0</v>
      </c>
      <c r="R96" s="136">
        <v>15.0</v>
      </c>
      <c r="S96" s="137">
        <v>46006.0</v>
      </c>
      <c r="T96" s="137">
        <v>46356.0</v>
      </c>
    </row>
    <row r="97" ht="18.0" customHeight="1">
      <c r="A97" s="134" t="s">
        <v>124</v>
      </c>
      <c r="B97" s="134" t="s">
        <v>115</v>
      </c>
      <c r="C97" s="134" t="s">
        <v>178</v>
      </c>
      <c r="D97" s="135">
        <v>1400.0</v>
      </c>
      <c r="E97" s="136">
        <v>1300.0</v>
      </c>
      <c r="F97" s="136">
        <v>5585.0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0.0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0.0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>
        <v>46356.0</v>
      </c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0.0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297</v>
      </c>
      <c r="D108" s="135">
        <v>1400.0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7"/>
      <c r="T108" s="137"/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39</v>
      </c>
      <c r="D113" s="135">
        <v>1400.0</v>
      </c>
      <c r="E113" s="136">
        <v>1099.0</v>
      </c>
      <c r="F113" s="136">
        <v>1098.0</v>
      </c>
      <c r="G113" s="136">
        <v>0.0</v>
      </c>
      <c r="H113" s="136">
        <v>0.0</v>
      </c>
      <c r="I113" s="136">
        <v>1099.0</v>
      </c>
      <c r="J113" s="136">
        <v>0.0</v>
      </c>
      <c r="K113" s="136">
        <v>0.0</v>
      </c>
      <c r="L113" s="136">
        <v>0.0</v>
      </c>
      <c r="M113" s="136">
        <v>0.0</v>
      </c>
      <c r="N113" s="136">
        <v>0.0</v>
      </c>
      <c r="O113" s="136">
        <v>0.0</v>
      </c>
      <c r="P113" s="136">
        <v>0.0</v>
      </c>
      <c r="Q113" s="136">
        <v>0.0</v>
      </c>
      <c r="R113" s="136">
        <v>0.0</v>
      </c>
      <c r="S113" s="137">
        <v>46031.0</v>
      </c>
      <c r="T113" s="137">
        <v>46387.0</v>
      </c>
    </row>
    <row r="114" ht="18.0" customHeight="1">
      <c r="A114" s="134" t="s">
        <v>141</v>
      </c>
      <c r="B114" s="134" t="s">
        <v>38</v>
      </c>
      <c r="C114" s="134" t="s">
        <v>47</v>
      </c>
      <c r="D114" s="135">
        <v>1400.0</v>
      </c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7"/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1225.0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45992.0</v>
      </c>
      <c r="T115" s="137">
        <v>46356.0</v>
      </c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-108.0</v>
      </c>
      <c r="G116" s="136">
        <v>0.0</v>
      </c>
      <c r="H116" s="136">
        <v>0.0</v>
      </c>
      <c r="I116" s="136">
        <v>125.0</v>
      </c>
      <c r="J116" s="136">
        <v>0.0</v>
      </c>
      <c r="K116" s="136">
        <v>0.0</v>
      </c>
      <c r="L116" s="136">
        <v>850.0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45992.0</v>
      </c>
      <c r="T116" s="137">
        <v>46356.0</v>
      </c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0.0</v>
      </c>
      <c r="G118" s="136">
        <v>0.0</v>
      </c>
      <c r="H118" s="136">
        <v>0.0</v>
      </c>
      <c r="I118" s="136">
        <v>334.0</v>
      </c>
      <c r="J118" s="136">
        <v>0.0</v>
      </c>
      <c r="K118" s="136">
        <v>0.0</v>
      </c>
      <c r="L118" s="136">
        <v>1016.0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74.5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1120.0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1209.5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1400.0</v>
      </c>
      <c r="F125" s="136">
        <v>0.0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50.0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37.5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47</v>
      </c>
      <c r="D128" s="135">
        <v>1400.0</v>
      </c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7"/>
      <c r="T128" s="137"/>
    </row>
    <row r="129" ht="18.0" customHeight="1">
      <c r="A129" s="138" t="s">
        <v>156</v>
      </c>
      <c r="B129" s="138"/>
      <c r="C129" s="138" t="s">
        <v>279</v>
      </c>
      <c r="D129" s="139">
        <v>71400.0</v>
      </c>
      <c r="E129" s="140">
        <v>44297.0</v>
      </c>
      <c r="F129" s="140">
        <v>13032.26</v>
      </c>
      <c r="G129" s="140">
        <v>0.0</v>
      </c>
      <c r="H129" s="140">
        <v>0.0</v>
      </c>
      <c r="I129" s="140">
        <v>37362.0</v>
      </c>
      <c r="J129" s="140">
        <v>0.0</v>
      </c>
      <c r="K129" s="140">
        <v>0.0</v>
      </c>
      <c r="L129" s="140">
        <v>6870.0</v>
      </c>
      <c r="M129" s="140">
        <v>0.0</v>
      </c>
      <c r="N129" s="140">
        <v>0.0</v>
      </c>
      <c r="O129" s="140">
        <v>50.0</v>
      </c>
      <c r="P129" s="140">
        <v>0.0</v>
      </c>
      <c r="Q129" s="140">
        <v>0.0</v>
      </c>
      <c r="R129" s="140">
        <v>15.0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122.0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0.0</v>
      </c>
      <c r="G132" s="136">
        <v>900.0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432.0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0.0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-143.0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0.0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39</v>
      </c>
      <c r="D138" s="135">
        <v>800.0</v>
      </c>
      <c r="E138" s="136">
        <v>740.0</v>
      </c>
      <c r="F138" s="136">
        <v>727.0</v>
      </c>
      <c r="G138" s="136">
        <v>0.0</v>
      </c>
      <c r="H138" s="136">
        <v>0.0</v>
      </c>
      <c r="I138" s="136">
        <v>18.0</v>
      </c>
      <c r="J138" s="136">
        <v>0.0</v>
      </c>
      <c r="K138" s="136">
        <v>0.0</v>
      </c>
      <c r="L138" s="136">
        <v>0.0</v>
      </c>
      <c r="M138" s="136">
        <v>0.0</v>
      </c>
      <c r="N138" s="136">
        <v>707.0</v>
      </c>
      <c r="O138" s="136">
        <v>0.0</v>
      </c>
      <c r="P138" s="136">
        <v>0.0</v>
      </c>
      <c r="Q138" s="136">
        <v>0.0</v>
      </c>
      <c r="R138" s="136">
        <v>15.0</v>
      </c>
      <c r="S138" s="137">
        <v>46031.0</v>
      </c>
      <c r="T138" s="137">
        <v>46395.0</v>
      </c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1050.0</v>
      </c>
      <c r="F139" s="136">
        <v>1210.0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1000.0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>
        <v>46203.0</v>
      </c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244.45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1225.0</v>
      </c>
      <c r="F141" s="136">
        <v>1352.5</v>
      </c>
      <c r="G141" s="136">
        <v>0.0</v>
      </c>
      <c r="H141" s="136">
        <v>50.0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1280.0</v>
      </c>
      <c r="F143" s="136">
        <v>50.0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1200.0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>
        <v>46387.0</v>
      </c>
    </row>
    <row r="144" ht="18.0" customHeight="1">
      <c r="A144" s="134" t="s">
        <v>173</v>
      </c>
      <c r="B144" s="134" t="s">
        <v>168</v>
      </c>
      <c r="C144" s="134" t="s">
        <v>39</v>
      </c>
      <c r="D144" s="135">
        <v>1000.0</v>
      </c>
      <c r="E144" s="136">
        <v>1125.0</v>
      </c>
      <c r="F144" s="136">
        <v>0.0</v>
      </c>
      <c r="G144" s="136">
        <v>0.0</v>
      </c>
      <c r="H144" s="136">
        <v>0.0</v>
      </c>
      <c r="I144" s="136">
        <v>1125.0</v>
      </c>
      <c r="J144" s="136">
        <v>0.0</v>
      </c>
      <c r="K144" s="136">
        <v>0.0</v>
      </c>
      <c r="L144" s="136">
        <v>0.0</v>
      </c>
      <c r="M144" s="136">
        <v>0.0</v>
      </c>
      <c r="N144" s="136">
        <v>0.0</v>
      </c>
      <c r="O144" s="136">
        <v>0.0</v>
      </c>
      <c r="P144" s="136">
        <v>0.0</v>
      </c>
      <c r="Q144" s="136">
        <v>0.0</v>
      </c>
      <c r="R144" s="136">
        <v>0.0</v>
      </c>
      <c r="S144" s="137">
        <v>45996.0</v>
      </c>
      <c r="T144" s="137">
        <v>46356.0</v>
      </c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421.0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46568.0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443.0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0.0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0.0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1015.0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>
        <v>46356.0</v>
      </c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1000.0</v>
      </c>
      <c r="F153" s="136">
        <v>-211.0</v>
      </c>
      <c r="G153" s="136">
        <v>0.0</v>
      </c>
      <c r="H153" s="136">
        <v>0.0</v>
      </c>
      <c r="I153" s="136">
        <v>255.0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>
        <v>46387.0</v>
      </c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1733.93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283.0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>
        <v>46418.0</v>
      </c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-35.0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>
        <v>46326.0</v>
      </c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0.0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39</v>
      </c>
      <c r="D159" s="135">
        <v>850.0</v>
      </c>
      <c r="E159" s="136">
        <v>980.0</v>
      </c>
      <c r="F159" s="136">
        <v>0.0</v>
      </c>
      <c r="G159" s="136">
        <v>0.0</v>
      </c>
      <c r="H159" s="136">
        <v>0.0</v>
      </c>
      <c r="I159" s="136">
        <v>965.0</v>
      </c>
      <c r="J159" s="136">
        <v>0.0</v>
      </c>
      <c r="K159" s="136">
        <v>0.0</v>
      </c>
      <c r="L159" s="136">
        <v>0.0</v>
      </c>
      <c r="M159" s="136">
        <v>0.0</v>
      </c>
      <c r="N159" s="136">
        <v>0.0</v>
      </c>
      <c r="O159" s="136">
        <v>0.0</v>
      </c>
      <c r="P159" s="136">
        <v>0.0</v>
      </c>
      <c r="Q159" s="136">
        <v>0.0</v>
      </c>
      <c r="R159" s="136">
        <v>15.0</v>
      </c>
      <c r="S159" s="137">
        <v>46023.0</v>
      </c>
      <c r="T159" s="137">
        <v>46387.0</v>
      </c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0.0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>
        <v>46326.0</v>
      </c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485.0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>
        <v>46387.0</v>
      </c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444.85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11.8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0.0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0.0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47</v>
      </c>
      <c r="D166" s="135">
        <v>850.0</v>
      </c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7"/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46387.0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813.0</v>
      </c>
      <c r="F168" s="136">
        <v>410.0</v>
      </c>
      <c r="G168" s="136">
        <v>0.0</v>
      </c>
      <c r="H168" s="136">
        <v>0.0</v>
      </c>
      <c r="I168" s="136">
        <v>334.0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479.0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46387.0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925.0</v>
      </c>
      <c r="F169" s="136">
        <v>0.0</v>
      </c>
      <c r="G169" s="136">
        <v>0.0</v>
      </c>
      <c r="H169" s="136">
        <v>0.0</v>
      </c>
      <c r="I169" s="136">
        <v>925.0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>
        <v>46387.0</v>
      </c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342</v>
      </c>
      <c r="D171" s="139">
        <v>34800.0</v>
      </c>
      <c r="E171" s="140">
        <v>33959.5</v>
      </c>
      <c r="F171" s="140">
        <v>8996.53</v>
      </c>
      <c r="G171" s="140">
        <v>900.0</v>
      </c>
      <c r="H171" s="140">
        <v>180.0</v>
      </c>
      <c r="I171" s="140">
        <v>16346.0</v>
      </c>
      <c r="J171" s="140">
        <v>0.0</v>
      </c>
      <c r="K171" s="140">
        <v>4541.0</v>
      </c>
      <c r="L171" s="140">
        <v>0.0</v>
      </c>
      <c r="M171" s="140">
        <v>1958.0</v>
      </c>
      <c r="N171" s="140">
        <v>9869.0</v>
      </c>
      <c r="O171" s="140">
        <v>125.0</v>
      </c>
      <c r="P171" s="140">
        <v>0.0</v>
      </c>
      <c r="Q171" s="140">
        <v>0.0</v>
      </c>
      <c r="R171" s="140">
        <v>40.5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860.0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0.0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0.0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904.75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1202.0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107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850.0</v>
      </c>
      <c r="F190" s="136">
        <v>-103.48</v>
      </c>
      <c r="G190" s="136">
        <v>0.0</v>
      </c>
      <c r="H190" s="136">
        <v>0.0</v>
      </c>
      <c r="I190" s="136">
        <v>238.0</v>
      </c>
      <c r="J190" s="136">
        <v>0.0</v>
      </c>
      <c r="K190" s="136">
        <v>0.0</v>
      </c>
      <c r="L190" s="136">
        <v>612.0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39</v>
      </c>
      <c r="D192" s="135">
        <v>825.0</v>
      </c>
      <c r="E192" s="136">
        <v>925.0</v>
      </c>
      <c r="F192" s="136">
        <v>0.0</v>
      </c>
      <c r="G192" s="136">
        <v>0.0</v>
      </c>
      <c r="H192" s="136">
        <v>0.0</v>
      </c>
      <c r="I192" s="136">
        <v>925.0</v>
      </c>
      <c r="J192" s="136">
        <v>0.0</v>
      </c>
      <c r="K192" s="136">
        <v>0.0</v>
      </c>
      <c r="L192" s="136">
        <v>0.0</v>
      </c>
      <c r="M192" s="136">
        <v>0.0</v>
      </c>
      <c r="N192" s="136">
        <v>0.0</v>
      </c>
      <c r="O192" s="136">
        <v>0.0</v>
      </c>
      <c r="P192" s="136">
        <v>0.0</v>
      </c>
      <c r="Q192" s="136">
        <v>0.0</v>
      </c>
      <c r="R192" s="136">
        <v>0.0</v>
      </c>
      <c r="S192" s="137">
        <v>46022.0</v>
      </c>
      <c r="T192" s="137">
        <v>46356.0</v>
      </c>
    </row>
    <row r="193" ht="18.0" customHeight="1">
      <c r="A193" s="134" t="s">
        <v>224</v>
      </c>
      <c r="B193" s="134" t="s">
        <v>56</v>
      </c>
      <c r="C193" s="134" t="s">
        <v>39</v>
      </c>
      <c r="D193" s="135">
        <v>750.0</v>
      </c>
      <c r="E193" s="136">
        <v>840.0</v>
      </c>
      <c r="F193" s="136">
        <v>703.0</v>
      </c>
      <c r="G193" s="136">
        <v>0.0</v>
      </c>
      <c r="H193" s="136">
        <v>0.0</v>
      </c>
      <c r="I193" s="136">
        <v>800.0</v>
      </c>
      <c r="J193" s="136">
        <v>0.0</v>
      </c>
      <c r="K193" s="136">
        <v>0.0</v>
      </c>
      <c r="L193" s="136">
        <v>0.0</v>
      </c>
      <c r="M193" s="136">
        <v>0.0</v>
      </c>
      <c r="N193" s="136">
        <v>0.0</v>
      </c>
      <c r="O193" s="136">
        <v>25.0</v>
      </c>
      <c r="P193" s="136">
        <v>0.0</v>
      </c>
      <c r="Q193" s="136">
        <v>0.0</v>
      </c>
      <c r="R193" s="136">
        <v>15.0</v>
      </c>
      <c r="S193" s="137">
        <v>45987.0</v>
      </c>
      <c r="T193" s="137">
        <v>46326.0</v>
      </c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800.0</v>
      </c>
      <c r="F194" s="136">
        <v>0.0</v>
      </c>
      <c r="G194" s="136">
        <v>0.0</v>
      </c>
      <c r="H194" s="136">
        <v>0.0</v>
      </c>
      <c r="I194" s="136">
        <v>800.0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>
        <v>46568.0</v>
      </c>
    </row>
    <row r="195" ht="18.0" customHeight="1">
      <c r="A195" s="138" t="s">
        <v>226</v>
      </c>
      <c r="B195" s="138"/>
      <c r="C195" s="138" t="s">
        <v>44</v>
      </c>
      <c r="D195" s="139">
        <v>17550.0</v>
      </c>
      <c r="E195" s="140">
        <v>18050.0</v>
      </c>
      <c r="F195" s="140">
        <v>3566.27</v>
      </c>
      <c r="G195" s="140">
        <v>0.0</v>
      </c>
      <c r="H195" s="140">
        <v>0.0</v>
      </c>
      <c r="I195" s="140">
        <v>17398.0</v>
      </c>
      <c r="J195" s="140">
        <v>0.0</v>
      </c>
      <c r="K195" s="140">
        <v>0.0</v>
      </c>
      <c r="L195" s="140">
        <v>612.0</v>
      </c>
      <c r="M195" s="140">
        <v>0.0</v>
      </c>
      <c r="N195" s="140">
        <v>0.0</v>
      </c>
      <c r="O195" s="140">
        <v>25.0</v>
      </c>
      <c r="P195" s="140">
        <v>0.0</v>
      </c>
      <c r="Q195" s="140">
        <v>0.0</v>
      </c>
      <c r="R195" s="140">
        <v>15.0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0.0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0.0</v>
      </c>
      <c r="G199" s="136">
        <v>0.0</v>
      </c>
      <c r="H199" s="136">
        <v>225.0</v>
      </c>
      <c r="I199" s="136">
        <v>122.0</v>
      </c>
      <c r="J199" s="136">
        <v>0.0</v>
      </c>
      <c r="K199" s="136">
        <v>0.0</v>
      </c>
      <c r="L199" s="136">
        <v>903.0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1175.0</v>
      </c>
      <c r="F200" s="136">
        <v>376.7</v>
      </c>
      <c r="G200" s="136">
        <v>0.0</v>
      </c>
      <c r="H200" s="136">
        <v>225.0</v>
      </c>
      <c r="I200" s="136">
        <v>950.0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-690.0</v>
      </c>
      <c r="G202" s="136">
        <v>0.0</v>
      </c>
      <c r="H202" s="136">
        <v>225.0</v>
      </c>
      <c r="I202" s="136">
        <v>144.0</v>
      </c>
      <c r="J202" s="136">
        <v>0.0</v>
      </c>
      <c r="K202" s="136">
        <v>0.0</v>
      </c>
      <c r="L202" s="136">
        <v>881.0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1714.51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1220.0</v>
      </c>
      <c r="F207" s="136">
        <v>-0.26</v>
      </c>
      <c r="G207" s="136">
        <v>0.0</v>
      </c>
      <c r="H207" s="136">
        <v>225.0</v>
      </c>
      <c r="I207" s="136">
        <v>199.0</v>
      </c>
      <c r="J207" s="136">
        <v>0.0</v>
      </c>
      <c r="K207" s="136">
        <v>0.0</v>
      </c>
      <c r="L207" s="136">
        <v>796.0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-91.25</v>
      </c>
      <c r="G208" s="136">
        <v>0.0</v>
      </c>
      <c r="H208" s="136">
        <v>225.0</v>
      </c>
      <c r="I208" s="136">
        <v>222.0</v>
      </c>
      <c r="J208" s="136">
        <v>0.0</v>
      </c>
      <c r="K208" s="136">
        <v>0.0</v>
      </c>
      <c r="L208" s="136">
        <v>803.0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1250.0</v>
      </c>
      <c r="F211" s="136">
        <v>-3.0</v>
      </c>
      <c r="G211" s="136">
        <v>0.0</v>
      </c>
      <c r="H211" s="136">
        <v>225.0</v>
      </c>
      <c r="I211" s="136">
        <v>508.0</v>
      </c>
      <c r="J211" s="136">
        <v>0.0</v>
      </c>
      <c r="K211" s="136">
        <v>0.0</v>
      </c>
      <c r="L211" s="136">
        <v>517.0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584.02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0.0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46568.0</v>
      </c>
    </row>
    <row r="217" ht="18.0" customHeight="1">
      <c r="A217" s="134" t="s">
        <v>84</v>
      </c>
      <c r="B217" s="134" t="s">
        <v>38</v>
      </c>
      <c r="C217" s="134" t="s">
        <v>47</v>
      </c>
      <c r="D217" s="135">
        <v>825.0</v>
      </c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7"/>
      <c r="T217" s="137"/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0.0</v>
      </c>
      <c r="G222" s="136">
        <v>0.0</v>
      </c>
      <c r="H222" s="136">
        <v>225.0</v>
      </c>
      <c r="I222" s="136">
        <v>408.0</v>
      </c>
      <c r="J222" s="136">
        <v>0.0</v>
      </c>
      <c r="K222" s="136">
        <v>0.0</v>
      </c>
      <c r="L222" s="136">
        <v>667.0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46265.0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1225.0</v>
      </c>
      <c r="F225" s="136">
        <v>400.0</v>
      </c>
      <c r="G225" s="136">
        <v>0.0</v>
      </c>
      <c r="H225" s="136">
        <v>225.0</v>
      </c>
      <c r="I225" s="136">
        <v>1000.0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>
        <v>46387.0</v>
      </c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1175.0</v>
      </c>
      <c r="F226" s="136">
        <v>0.0</v>
      </c>
      <c r="G226" s="136">
        <v>0.0</v>
      </c>
      <c r="H226" s="136">
        <v>225.0</v>
      </c>
      <c r="I226" s="136">
        <v>950.0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46387.0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48.75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-20.0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46446.0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1059.25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18.0</v>
      </c>
      <c r="G233" s="136">
        <v>0.0</v>
      </c>
      <c r="H233" s="136">
        <v>225.0</v>
      </c>
      <c r="I233" s="136">
        <v>448.0</v>
      </c>
      <c r="J233" s="136">
        <v>0.0</v>
      </c>
      <c r="K233" s="136">
        <v>0.0</v>
      </c>
      <c r="L233" s="136">
        <v>577.0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343.7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47</v>
      </c>
      <c r="D236" s="135">
        <v>825.0</v>
      </c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7"/>
      <c r="T236" s="137"/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-260.0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47</v>
      </c>
      <c r="D238" s="135">
        <v>825.0</v>
      </c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7"/>
      <c r="T238" s="137"/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-2364.0</v>
      </c>
      <c r="G239" s="136">
        <v>0.0</v>
      </c>
      <c r="H239" s="136">
        <v>125.0</v>
      </c>
      <c r="I239" s="136">
        <v>186.0</v>
      </c>
      <c r="J239" s="136">
        <v>0.0</v>
      </c>
      <c r="K239" s="136">
        <v>0.0</v>
      </c>
      <c r="L239" s="136">
        <v>687.0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1250.0</v>
      </c>
      <c r="F240" s="136">
        <v>-615.8</v>
      </c>
      <c r="G240" s="136">
        <v>0.0</v>
      </c>
      <c r="H240" s="136">
        <v>225.0</v>
      </c>
      <c r="I240" s="136">
        <v>99.0</v>
      </c>
      <c r="J240" s="136">
        <v>0.0</v>
      </c>
      <c r="K240" s="136">
        <v>0.0</v>
      </c>
      <c r="L240" s="136">
        <v>926.0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>
        <v>46302.0</v>
      </c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0.0</v>
      </c>
      <c r="G241" s="136">
        <v>0.0</v>
      </c>
      <c r="H241" s="136">
        <v>225.0</v>
      </c>
      <c r="I241" s="136">
        <v>275.0</v>
      </c>
      <c r="J241" s="136">
        <v>0.0</v>
      </c>
      <c r="K241" s="136">
        <v>0.0</v>
      </c>
      <c r="L241" s="136">
        <v>750.0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-1.1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>
        <v>46387.0</v>
      </c>
    </row>
    <row r="247" ht="18.0" customHeight="1">
      <c r="A247" s="138" t="s">
        <v>244</v>
      </c>
      <c r="B247" s="138"/>
      <c r="C247" s="138" t="s">
        <v>358</v>
      </c>
      <c r="D247" s="139">
        <v>40350.0</v>
      </c>
      <c r="E247" s="140">
        <v>49759.3</v>
      </c>
      <c r="F247" s="140">
        <v>344.52</v>
      </c>
      <c r="G247" s="140">
        <v>0.0</v>
      </c>
      <c r="H247" s="140">
        <v>8420.8</v>
      </c>
      <c r="I247" s="140">
        <v>32081.5</v>
      </c>
      <c r="J247" s="140">
        <v>0.0</v>
      </c>
      <c r="K247" s="140">
        <v>0.0</v>
      </c>
      <c r="L247" s="140">
        <v>9167.0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600.0</v>
      </c>
      <c r="F249" s="136">
        <v>-1268.33</v>
      </c>
      <c r="G249" s="136">
        <v>0.0</v>
      </c>
      <c r="H249" s="136">
        <v>0.0</v>
      </c>
      <c r="I249" s="136">
        <v>115.0</v>
      </c>
      <c r="J249" s="136">
        <v>485.0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-675.0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46081.0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0.0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492.1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46477.0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100.44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0.0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0.0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0.0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46477.0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-57.07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0.0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0.0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848.94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438.54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178</v>
      </c>
      <c r="D262" s="135">
        <v>675.0</v>
      </c>
      <c r="E262" s="136">
        <v>775.0</v>
      </c>
      <c r="F262" s="136">
        <v>2251.14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700.0</v>
      </c>
      <c r="F263" s="136">
        <v>500.08</v>
      </c>
      <c r="G263" s="136">
        <v>0.0</v>
      </c>
      <c r="H263" s="136">
        <v>0.0</v>
      </c>
      <c r="I263" s="136">
        <v>700.0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>
        <v>46356.0</v>
      </c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0.0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46447.0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-36.83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320.94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0.0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46403.0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0.0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46418.0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675.0</v>
      </c>
      <c r="F269" s="136">
        <v>-71.01</v>
      </c>
      <c r="G269" s="136">
        <v>0.0</v>
      </c>
      <c r="H269" s="136">
        <v>0.0</v>
      </c>
      <c r="I269" s="136">
        <v>675.0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0.0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784.5</v>
      </c>
      <c r="G271" s="136">
        <v>0.0</v>
      </c>
      <c r="H271" s="136">
        <v>0.0</v>
      </c>
      <c r="I271" s="136">
        <v>750.0</v>
      </c>
      <c r="J271" s="136">
        <v>0.0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46394.0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0.0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46326.0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-582.0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331.47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0.0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765.0</v>
      </c>
      <c r="F276" s="136">
        <v>15.0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15.0</v>
      </c>
      <c r="S276" s="137">
        <v>44742.0</v>
      </c>
      <c r="T276" s="137">
        <v>46356.0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-1.0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1611.35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46294.0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22115.0</v>
      </c>
      <c r="F279" s="140">
        <v>5003.26</v>
      </c>
      <c r="G279" s="140">
        <v>0.0</v>
      </c>
      <c r="H279" s="140">
        <v>0.0</v>
      </c>
      <c r="I279" s="140">
        <v>19513.0</v>
      </c>
      <c r="J279" s="140">
        <v>2537.0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15.0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320</v>
      </c>
      <c r="D281" s="139">
        <v>229909.0</v>
      </c>
      <c r="E281" s="140">
        <v>210640.8</v>
      </c>
      <c r="F281" s="140">
        <v>49314.94</v>
      </c>
      <c r="G281" s="140">
        <v>900.0</v>
      </c>
      <c r="H281" s="140">
        <v>8600.8</v>
      </c>
      <c r="I281" s="140">
        <v>162125.5</v>
      </c>
      <c r="J281" s="140">
        <v>3465.0</v>
      </c>
      <c r="K281" s="140">
        <v>4541.0</v>
      </c>
      <c r="L281" s="140">
        <v>18616.0</v>
      </c>
      <c r="M281" s="140">
        <v>1958.0</v>
      </c>
      <c r="N281" s="140">
        <v>9869.0</v>
      </c>
      <c r="O281" s="140">
        <v>425.0</v>
      </c>
      <c r="P281" s="140">
        <v>25.0</v>
      </c>
      <c r="Q281" s="140">
        <v>15.0</v>
      </c>
      <c r="R281" s="140">
        <v>100.5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3" si="1">IFERROR(
  SUMPRODUCT((A$284:A$294=A282)*C$284:C$294*I$284:I$294) /
  SUMPRODUCT((A$284:A$294=A282)*I$284:I$294),
0)</f>
        <v>0.9184081633</v>
      </c>
      <c r="D282" s="198">
        <f t="shared" ref="D282:D283" si="2">IFERROR(
  SUMPRODUCT((A$284:A$294=A282)*D$284:D$294*I$284:I$294) /
  SUMPRODUCT((A$284:A$294=A282)*I$284:I$294),
0)</f>
        <v>0.8855335546</v>
      </c>
      <c r="E282" s="199">
        <f t="shared" ref="E282:E283" si="3">IFERROR(
  SUMPRODUCT((A$284:A$294=A282)*E$284:E$294),
0)
</f>
        <v>3947.29</v>
      </c>
      <c r="F282" s="200">
        <f t="shared" ref="F282:F283" si="4">IFERROR(
  SUMPRODUCT((A$284:A$294=A282)*F$284:F$294),
0)
</f>
        <v>8433.47</v>
      </c>
      <c r="G282" s="201">
        <f t="shared" ref="G282:G283" si="5">IFERROR(
  SUMPRODUCT((A$284:A$294=A282)*G$284:G$294),
0)
</f>
        <v>3</v>
      </c>
      <c r="H282" s="202">
        <f t="shared" ref="H282:H283" si="6">IFERROR(
  SUMPRODUCT((A$284:A$294=A282)*H$284:H$294*I$284:I$294) /
  SUMPRODUCT((A$284:A$294=A282)*I$284:I$294),
0)</f>
        <v>0.862244898</v>
      </c>
      <c r="I282" s="143">
        <f t="shared" ref="I282:I283" si="7">IFERROR(
  SUMPRODUCT((A284:A294=A282) * (C284:C294 + D284:D294 + #REF!) * I284:I294) /
  SUMPRODUCT((A284:A294=A282) * I284:I294 * 3),
  0
)</f>
        <v>0</v>
      </c>
      <c r="J282" s="143">
        <f t="shared" ref="J282:J283" si="8">IFERROR(
  SUMPRODUCT(($A$284:$A$294=A282) * ($C$284:$C$294 + #REF!) * $I$284:$I$294) /
  (SUMPRODUCT(($A$284:$A$294=A282) * $I$284:$I$294) * 2),
  0
)</f>
        <v>0</v>
      </c>
    </row>
    <row r="283" ht="18.0" customHeight="1">
      <c r="A283" s="196" t="s">
        <v>251</v>
      </c>
      <c r="B283" s="153"/>
      <c r="C283" s="154">
        <f t="shared" si="1"/>
        <v>0.8592914573</v>
      </c>
      <c r="D283" s="203">
        <f t="shared" si="2"/>
        <v>0.8306676314</v>
      </c>
      <c r="E283" s="156">
        <f t="shared" si="3"/>
        <v>28174.06</v>
      </c>
      <c r="F283" s="204">
        <f t="shared" si="4"/>
        <v>40881.47</v>
      </c>
      <c r="G283" s="205">
        <f t="shared" si="5"/>
        <v>2</v>
      </c>
      <c r="H283" s="206">
        <f t="shared" si="6"/>
        <v>0.7889001755</v>
      </c>
      <c r="I283" s="207">
        <f t="shared" si="7"/>
        <v>0</v>
      </c>
      <c r="J283" s="207">
        <f t="shared" si="8"/>
        <v>0</v>
      </c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  <c r="Y283" s="208"/>
      <c r="Z283" s="208"/>
      <c r="AA283" s="208"/>
      <c r="AB283" s="208"/>
      <c r="AC283" s="208"/>
    </row>
    <row r="284" ht="18.0" customHeight="1">
      <c r="A284" s="169" t="s">
        <v>250</v>
      </c>
      <c r="B284" s="170" t="s">
        <v>253</v>
      </c>
      <c r="C284" s="178">
        <f>IFERROR(__xludf.DUMMYFUNCTION("IF(ISNUMBER(SEARCH(""%"",C15)), VALUE(REGEXREPLACE(C15,""[^0-9.]"",""""))/100, VALUE(REGEXREPLACE(C15,""[^0-9.]"","""")))
"),0.75)</f>
        <v>0.75</v>
      </c>
      <c r="D284" s="209">
        <f t="array" ref="D284">SUM(MAP(E11:E14, F11:F14, LAMBDA(e,f, MAX(0, e-f)))) / SUM(E11:E14)
</f>
        <v>0.8794871795</v>
      </c>
      <c r="E284" s="173">
        <f t="array" ref="E284">SUM(MAP(E$11:E$14, F$11:F$14, LAMBDA(e,f, MIN(e, f))))
</f>
        <v>352.5</v>
      </c>
      <c r="F284" s="210">
        <f>F15</f>
        <v>352.5</v>
      </c>
      <c r="G284" s="205">
        <f>IFERROR(__xludf.DUMMYFUNCTION("SUMPRODUCT(--(C11:C14&lt;&gt;""Vacant-Unrented""),--(C11:C14&lt;&gt;""Vacant-Rented""),--((N(W11:W14)&gt;N(X11:X14))+N(REGEXMATCH(LOWER(C11:C14),""evict""))&gt;0))
"),0.0)</f>
        <v>0</v>
      </c>
      <c r="H284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"),1.0)</f>
        <v>1</v>
      </c>
      <c r="I284" s="180">
        <v>4.0</v>
      </c>
      <c r="J284" s="211">
        <v>46340.0</v>
      </c>
    </row>
    <row r="285" ht="18.0" customHeight="1">
      <c r="A285" s="169" t="s">
        <v>250</v>
      </c>
      <c r="B285" s="170" t="s">
        <v>254</v>
      </c>
      <c r="C285" s="178">
        <f>IFERROR(__xludf.DUMMYFUNCTION("IF(ISNUMBER(SEARCH(""%"",C23)), VALUE(REGEXREPLACE(C23,""[^0-9.]"",""""))/100, VALUE(REGEXREPLACE(C23,""[^0-9.]"","""")))
"),0.667)</f>
        <v>0.667</v>
      </c>
      <c r="D285" s="209">
        <f t="array" ref="D285">SUM(MAP(E17:E22, F17:F22, LAMBDA(e,f, MAX(0, e-f)))) / SUM(E17:E22)
</f>
        <v>1</v>
      </c>
      <c r="E285" s="173">
        <f t="array" ref="E285">SUM(MAP(E$17:E$22, F$17:F$22, LAMBDA(e,f, MIN(e, f))))
</f>
        <v>0</v>
      </c>
      <c r="F285" s="210">
        <f>F23</f>
        <v>0</v>
      </c>
      <c r="G285" s="205">
        <f>IFERROR(__xludf.DUMMYFUNCTION("SUMPRODUCT(--(C17:C22&lt;&gt;""Vacant-Unrented""),--(C17:C22&lt;&gt;""Vacant-Rented""),--((N(W17:W22)&gt;N(X17:X22))+N(REGEXMATCH(LOWER(C17:C22),""evict""))&gt;0))
"),0.0)</f>
        <v>0</v>
      </c>
      <c r="H285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"),0.75)</f>
        <v>0.75</v>
      </c>
      <c r="I285" s="180">
        <v>6.0</v>
      </c>
      <c r="J285" s="212" t="s">
        <v>255</v>
      </c>
    </row>
    <row r="286" ht="18.0" customHeight="1">
      <c r="A286" s="169" t="s">
        <v>250</v>
      </c>
      <c r="B286" s="170" t="s">
        <v>256</v>
      </c>
      <c r="C286" s="178">
        <f>IFERROR(__xludf.DUMMYFUNCTION("IF(ISNUMBER(SEARCH(""%"",C30)), VALUE(REGEXREPLACE(C30,""[^0-9.]"",""""))/100, VALUE(REGEXREPLACE(C30,""[^0-9.]"","""")))
"),0.8)</f>
        <v>0.8</v>
      </c>
      <c r="D286" s="209">
        <f t="array" ref="D286">SUM(MAP(E25:E29, F25:F29, LAMBDA(e,f, MAX(0, e-f)))) / SUM(E25:E29)
</f>
        <v>0.7521367521</v>
      </c>
      <c r="E286" s="173">
        <f t="array" ref="E286">SUM(MAP(E$25:E$29, F$25:F$29, LAMBDA(e,f, MIN(e, f))))
</f>
        <v>725</v>
      </c>
      <c r="F286" s="210">
        <f>F30</f>
        <v>2840.25</v>
      </c>
      <c r="G286" s="205">
        <f>IFERROR(__xludf.DUMMYFUNCTION("SUMPRODUCT(--(C25:C29&lt;&gt;""Vacant-Unrented""),--(C25:C29&lt;&gt;""Vacant-Rented""),--((N(W25:W29)&gt;N(X25:X29))+N(REGEXMATCH(LOWER(C25:C29),""evict""))&gt;0))
"),1.0)</f>
        <v>1</v>
      </c>
      <c r="H286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"),0.75)</f>
        <v>0.75</v>
      </c>
      <c r="I286" s="180">
        <v>5.0</v>
      </c>
      <c r="J286" s="212" t="s">
        <v>257</v>
      </c>
    </row>
    <row r="287" ht="18.0" customHeight="1">
      <c r="A287" s="169" t="s">
        <v>250</v>
      </c>
      <c r="B287" s="170" t="s">
        <v>258</v>
      </c>
      <c r="C287" s="178">
        <f>IFERROR(__xludf.DUMMYFUNCTION("IF(ISNUMBER(SEARCH(""%"",C34)), VALUE(REGEXREPLACE(C34,""[^0-9.]"",""""))/100, VALUE(REGEXREPLACE(C34,""[^0-9.]"","""")))
"),1.0)</f>
        <v>1</v>
      </c>
      <c r="D287" s="209">
        <f t="array" ref="D287">SUM(MAP(E32:E33, F32:F33, LAMBDA(e,f, MAX(0, e-f)))) / SUM(E32:E33)
</f>
        <v>0.8416933333</v>
      </c>
      <c r="E287" s="173">
        <f t="array" ref="E287">SUM(MAP(E$32:E$33, F$32:F$33, LAMBDA(e,f, MIN(e, f))))
</f>
        <v>237.46</v>
      </c>
      <c r="F287" s="210">
        <f>F34</f>
        <v>237.46</v>
      </c>
      <c r="G287" s="205">
        <f>IFERROR(__xludf.DUMMYFUNCTION("SUMPRODUCT(--(C36:C37&lt;&gt;""Vacant-Unrented""),--(C36:C37&lt;&gt;""Vacant-Rented""),--((N(W36:W37)&gt;N(X36:X37))+N(REGEXMATCH(LOWER(C36:C37),""evict""))&gt;0))
"),0.0)</f>
        <v>0</v>
      </c>
      <c r="H287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7" s="180">
        <v>2.0</v>
      </c>
      <c r="J287" s="212" t="s">
        <v>259</v>
      </c>
    </row>
    <row r="288" ht="18.0" customHeight="1">
      <c r="A288" s="169" t="s">
        <v>250</v>
      </c>
      <c r="B288" s="170" t="s">
        <v>260</v>
      </c>
      <c r="C288" s="178">
        <f>IFERROR(__xludf.DUMMYFUNCTION("IF(ISNUMBER(SEARCH(""%"",C38)), VALUE(REGEXREPLACE(C38,""[^0-9.]"",""""))/100, VALUE(REGEXREPLACE(C38,""[^0-9.]"","""")))
"),1.0)</f>
        <v>1</v>
      </c>
      <c r="D288" s="209">
        <f t="array" ref="D288">SUM(MAP(E36:E37, F36:F37, LAMBDA(e,f, MAX(0, e-f)))) / SUM(E36:E37)
</f>
        <v>1</v>
      </c>
      <c r="E288" s="173">
        <f t="array" ref="E288">SUM(MAP(E$36:E$37, F$36:F$37, LAMBDA(e,f, MIN(e, f))))
</f>
        <v>0</v>
      </c>
      <c r="F288" s="210">
        <f>F38</f>
        <v>0</v>
      </c>
      <c r="G288" s="205">
        <f>IFERROR(__xludf.DUMMYFUNCTION("SUMPRODUCT(--(C40:C75&lt;&gt;""Vacant-Unrented""),--(C40:C75&lt;&gt;""Vacant-Rented""),--((N(W40:W75)&gt;N(X40:X75))+N(REGEXMATCH(LOWER(C40:C75),""evict""))&gt;0))
"),1.0)</f>
        <v>1</v>
      </c>
      <c r="H288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8" s="180">
        <v>2.0</v>
      </c>
      <c r="J288" s="212" t="s">
        <v>261</v>
      </c>
    </row>
    <row r="289" ht="18.0" customHeight="1">
      <c r="A289" s="180" t="s">
        <v>251</v>
      </c>
      <c r="B289" s="170" t="s">
        <v>262</v>
      </c>
      <c r="C289" s="178">
        <f>IFERROR(__xludf.DUMMYFUNCTION("IF(ISNUMBER(SEARCH(""%"",C76)), VALUE(REGEXREPLACE(C76,""[^0-9.]"",""""))/100, VALUE(REGEXREPLACE(C76,""[^0-9.]"","""")))
"),0.889)</f>
        <v>0.889</v>
      </c>
      <c r="D289" s="209">
        <f t="array" ref="D289">SUM(MAP(E40:E75, F40:F75, LAMBDA(e,f, MAX(0, e-f)))) / SUM(E40:E75)
</f>
        <v>0.6744594455</v>
      </c>
      <c r="E289" s="173">
        <f t="array" ref="E289">SUM(MAP(E$40:E$75, F$40:F$75, LAMBDA(e,f, MIN(e, f))))
</f>
        <v>9452.07</v>
      </c>
      <c r="F289" s="210">
        <f>F76</f>
        <v>14941.89</v>
      </c>
      <c r="G289" s="205">
        <f>IFERROR(__xludf.DUMMYFUNCTION("SUMPRODUCT(--(C40:C75&lt;&gt;""Vacant-Unrented""),--(C40:C75&lt;&gt;""Vacant-Rented""),--((N(W40:W75)&gt;N(X40:X75))+N(REGEXMATCH(LOWER(C40:C75),""evict""))&gt;0))
"),1.0)</f>
        <v>1</v>
      </c>
      <c r="H289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"),0.84375)</f>
        <v>0.84375</v>
      </c>
      <c r="I289" s="180">
        <v>36.0</v>
      </c>
      <c r="J289" s="212" t="s">
        <v>263</v>
      </c>
    </row>
    <row r="290" ht="18.0" customHeight="1">
      <c r="A290" s="169" t="s">
        <v>251</v>
      </c>
      <c r="B290" s="170" t="s">
        <v>264</v>
      </c>
      <c r="C290" s="178">
        <f>IFERROR(__xludf.DUMMYFUNCTION("IF(ISNUMBER(SEARCH(""%"",C129)), VALUE(REGEXREPLACE(C129,""[^0-9.]"",""""))/100, VALUE(REGEXREPLACE(C129,""[^0-9.]"","""")))
"),0.745)</f>
        <v>0.745</v>
      </c>
      <c r="D290" s="209">
        <f t="array" ref="D290">SUM(MAP(E78:E128, F78:F128, LAMBDA(e,f, MAX(0, e-f)))) / SUM(E78:E128)
</f>
        <v>0.8163338375</v>
      </c>
      <c r="E290" s="173">
        <f t="array" ref="E290">SUM(MAP(E$78:E$128, F$78:F$128, LAMBDA(e,f, MIN(e, f))))
</f>
        <v>8135.86</v>
      </c>
      <c r="F290" s="210">
        <f>F129</f>
        <v>13032.26</v>
      </c>
      <c r="G290" s="205">
        <f>IFERROR(__xludf.DUMMYFUNCTION("INT(
  SUMPRODUCT(
    --(C78:C128&lt;&gt;""Vacant-Unrented""),
    --(C78:C128&lt;&gt;""Vacant-Rented""),
    --((N(W78:W128)&gt;N(X78:X128)) + N(REGEXMATCH(LOWER(C78:C128),""evict"")) &gt; 0)
  )
)
"),1.0)</f>
        <v>1</v>
      </c>
      <c r="H290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"),0.8947368421052632)</f>
        <v>0.8947368421</v>
      </c>
      <c r="I290" s="180">
        <v>51.0</v>
      </c>
      <c r="J290" s="212" t="s">
        <v>265</v>
      </c>
    </row>
    <row r="291" ht="18.0" customHeight="1">
      <c r="A291" s="180" t="s">
        <v>251</v>
      </c>
      <c r="B291" s="170" t="s">
        <v>266</v>
      </c>
      <c r="C291" s="178">
        <f>IFERROR(__xludf.DUMMYFUNCTION("IF(ISNUMBER(SEARCH(""%"",C171)), VALUE(REGEXREPLACE(C171,""[^0-9.]"",""""))/100, VALUE(REGEXREPLACE(C171,""[^0-9.]"","""")))
"),0.925)</f>
        <v>0.925</v>
      </c>
      <c r="D291" s="209">
        <f t="array" ref="D291">SUM(MAP(E131:E170, F131:F170, LAMBDA(e,f, MAX(0, e-f)))) / SUM(E131:E170)
</f>
        <v>0.7715926324</v>
      </c>
      <c r="E291" s="173">
        <f t="array" ref="E291">SUM(MAP(E$131:E$170, F$131:F$170, LAMBDA(e,f, MIN(e, f))))
</f>
        <v>7756.6</v>
      </c>
      <c r="F291" s="210">
        <f>F171</f>
        <v>8996.53</v>
      </c>
      <c r="G291" s="205">
        <f>IFERROR(__xludf.DUMMYFUNCTION("SUMPRODUCT(--(C131:C170&lt;&gt;""Vacant-Unrented""),--(C131:C170&lt;&gt;""Vacant-Rented""),--((N(W131:W170)&gt;N(X131:X170))+N(REGEXMATCH(LOWER(C131:C170),""evict""))&gt;0))
"),0.0)</f>
        <v>0</v>
      </c>
      <c r="H291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"),0.7567567567567568)</f>
        <v>0.7567567568</v>
      </c>
      <c r="I291" s="180">
        <v>40.0</v>
      </c>
      <c r="J291" s="212" t="s">
        <v>267</v>
      </c>
    </row>
    <row r="292" ht="18.0" customHeight="1">
      <c r="A292" s="180" t="s">
        <v>251</v>
      </c>
      <c r="B292" s="170" t="s">
        <v>268</v>
      </c>
      <c r="C292" s="178">
        <f>IFERROR(__xludf.DUMMYFUNCTION("IF(ISNUMBER(SEARCH(""%"",C195)), VALUE(REGEXREPLACE(C195,""[^0-9.]"",""""))/100, VALUE(REGEXREPLACE(C195,""[^0-9.]"","""")))
"),1.0)</f>
        <v>1</v>
      </c>
      <c r="D292" s="209">
        <f t="array" ref="D292">SUM(MAP(E173:E194, F173:F194, LAMBDA(e,f, MAX(0, e-f)))) / SUM(E173:E194)
</f>
        <v>0.8365916898</v>
      </c>
      <c r="E292" s="173">
        <f t="array" ref="E292">SUM(MAP(E$173:E$194, F$173:F$194, LAMBDA(e,f, MIN(e, f))))
</f>
        <v>2949.52</v>
      </c>
      <c r="F292" s="210">
        <f>F195</f>
        <v>3566.27</v>
      </c>
      <c r="G292" s="205">
        <f>IFERROR(__xludf.DUMMYFUNCTION("SUMPRODUCT(--(C173:C194&lt;&gt;""Vacant-Unrented""),--(C173:C194&lt;&gt;""Vacant-Rented""),--((N(W173:W194)&gt;N(X173:X194))+N(REGEXMATCH(LOWER(C173:C194),""evict""))&gt;0))
"),0.0)</f>
        <v>0</v>
      </c>
      <c r="H292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"),0.6818181818181818)</f>
        <v>0.6818181818</v>
      </c>
      <c r="I292" s="180">
        <v>22.0</v>
      </c>
      <c r="J292" s="212" t="s">
        <v>269</v>
      </c>
    </row>
    <row r="293" ht="18.0" customHeight="1">
      <c r="A293" s="180" t="s">
        <v>251</v>
      </c>
      <c r="B293" s="170" t="s">
        <v>270</v>
      </c>
      <c r="C293" s="178">
        <f>IFERROR(__xludf.DUMMYFUNCTION("IF(ISNUMBER(SEARCH(""%"",C247)), VALUE(REGEXREPLACE(C247,""[^0-9.]"",""""))/100, VALUE(REGEXREPLACE(C247,""[^0-9.]"","""")))
"),0.84)</f>
        <v>0.84</v>
      </c>
      <c r="D293" s="209">
        <f t="array" ref="D293">SUM(MAP(E197:E246, F197:F246, LAMBDA(e,f, MAX(0, e-f)))) / SUM(E197:E246)
</f>
        <v>1.002411409</v>
      </c>
      <c r="E293" s="173">
        <f t="array" ref="E293">SUM(MAP(E$197:E$246, F$197:F$246, LAMBDA(e,f, MIN(e, f))))
</f>
        <v>-119.99</v>
      </c>
      <c r="F293" s="210">
        <f>F247</f>
        <v>344.52</v>
      </c>
      <c r="G293" s="205">
        <f>IFERROR(__xludf.DUMMYFUNCTION("SUMPRODUCT(--(C197:C246&lt;&gt;""Vacant-Unrented""),--(C197:C246&lt;&gt;""Vacant-Rented""),--((N(W197:W246)&gt;N(X197:X246))+N(REGEXMATCH(LOWER(C197:C246),""evict""))&gt;0))
"),0.0)</f>
        <v>0</v>
      </c>
      <c r="H293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"),0.7142857142857143)</f>
        <v>0.7142857143</v>
      </c>
      <c r="I293" s="180">
        <v>50.0</v>
      </c>
      <c r="J293" s="212" t="s">
        <v>271</v>
      </c>
    </row>
    <row r="294" ht="18.0" customHeight="1">
      <c r="A294" s="180" t="s">
        <v>250</v>
      </c>
      <c r="B294" s="170" t="s">
        <v>272</v>
      </c>
      <c r="C294" s="178">
        <f>IFERROR(__xludf.DUMMYFUNCTION("IF(ISNUMBER(SEARCH(""%"",C279)), VALUE(REGEXREPLACE(C279,""[^0-9.]"",""""))/100, VALUE(REGEXREPLACE(C279,""[^0-9.]"","""")))
"),1.0)</f>
        <v>1</v>
      </c>
      <c r="D294" s="209">
        <f t="array" ref="D294">SUM(MAP(E249:E278, F249:F278, LAMBDA(e,f, MAX(0, e-f)))) / SUM(E249:E278)
</f>
        <v>0.8809708343</v>
      </c>
      <c r="E294" s="173">
        <f t="array" ref="E294">SUM(MAP(E$249:E$278, F$249:F$278, LAMBDA(e,f, MIN(e, f))))
</f>
        <v>2632.33</v>
      </c>
      <c r="F294" s="210">
        <f>F279</f>
        <v>5003.26</v>
      </c>
      <c r="G294" s="205">
        <f>IFERROR(__xludf.DUMMYFUNCTION("SUMPRODUCT(--(C249:C278&lt;&gt;""Vacant-Unrented""),--(C249:C278&lt;&gt;""Vacant-Rented""),--((N(W249:W278)&gt;N(X249:X278))+N(REGEXMATCH(LOWER(C249:C278),""evict""))&gt;0))
"),1.0)</f>
        <v>1</v>
      </c>
      <c r="H294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"),0.8666666666666667)</f>
        <v>0.8666666667</v>
      </c>
      <c r="I294" s="180">
        <v>30.0</v>
      </c>
      <c r="J294" s="212" t="s">
        <v>273</v>
      </c>
    </row>
    <row r="295" ht="18.0" customHeight="1">
      <c r="A295" s="186"/>
      <c r="B295" s="186"/>
      <c r="C295" s="213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0)"),0.872)</f>
        <v>0.872</v>
      </c>
      <c r="D295" s="213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"),0.8475065134579812)</f>
        <v>0.8475065135</v>
      </c>
      <c r="E295" s="214">
        <f t="shared" ref="E295:G295" si="9">sum(E284:E294)</f>
        <v>32121.35</v>
      </c>
      <c r="F295" s="215">
        <f t="shared" si="9"/>
        <v>49314.94</v>
      </c>
      <c r="G295" s="216">
        <f t="shared" si="9"/>
        <v>5</v>
      </c>
      <c r="H295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"),0.8009259259259259)</f>
        <v>0.8009259259</v>
      </c>
      <c r="I295" s="129"/>
      <c r="J295" s="217"/>
    </row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4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5"/>
    <col customWidth="1" min="7" max="7" width="31.25"/>
    <col customWidth="1" min="8" max="8" width="111.13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28" t="s">
        <v>10</v>
      </c>
    </row>
    <row r="2" ht="18.0" customHeight="1">
      <c r="A2" s="130" t="s">
        <v>359</v>
      </c>
    </row>
    <row r="3" ht="18.0" customHeight="1">
      <c r="A3" s="130"/>
    </row>
    <row r="4" ht="18.0" customHeight="1">
      <c r="A4" s="131" t="s">
        <v>360</v>
      </c>
    </row>
    <row r="5" ht="18.0" customHeight="1">
      <c r="A5" s="131" t="s">
        <v>361</v>
      </c>
    </row>
    <row r="6" ht="18.0" customHeight="1">
      <c r="A6" s="131" t="s">
        <v>362</v>
      </c>
    </row>
    <row r="7" ht="18.0" customHeight="1">
      <c r="A7" s="131" t="s">
        <v>363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402.5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0.0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47</v>
      </c>
      <c r="D14" s="135">
        <v>950.0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7"/>
      <c r="T14" s="137"/>
    </row>
    <row r="15" ht="18.0" customHeight="1">
      <c r="A15" s="138" t="s">
        <v>43</v>
      </c>
      <c r="B15" s="138"/>
      <c r="C15" s="138" t="s">
        <v>313</v>
      </c>
      <c r="D15" s="139">
        <v>3800.0</v>
      </c>
      <c r="E15" s="140">
        <v>2925.0</v>
      </c>
      <c r="F15" s="140">
        <v>402.5</v>
      </c>
      <c r="G15" s="140">
        <v>0.0</v>
      </c>
      <c r="H15" s="140">
        <v>0.0</v>
      </c>
      <c r="I15" s="140">
        <v>2532.0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46443.0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950.0</v>
      </c>
      <c r="F22" s="136">
        <v>0.0</v>
      </c>
      <c r="G22" s="136">
        <v>0.0</v>
      </c>
      <c r="H22" s="136">
        <v>0.0</v>
      </c>
      <c r="I22" s="136">
        <v>925.0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25.0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3675.0</v>
      </c>
      <c r="F23" s="140">
        <v>0.0</v>
      </c>
      <c r="G23" s="140">
        <v>0.0</v>
      </c>
      <c r="H23" s="140">
        <v>0.0</v>
      </c>
      <c r="I23" s="140">
        <v>3065.0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50.0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297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178</v>
      </c>
      <c r="D28" s="135">
        <v>621.0</v>
      </c>
      <c r="E28" s="136">
        <v>725.0</v>
      </c>
      <c r="F28" s="136">
        <v>2890.25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46431.0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2890.25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850.0</v>
      </c>
      <c r="F32" s="136">
        <v>163.95</v>
      </c>
      <c r="G32" s="136">
        <v>0.0</v>
      </c>
      <c r="H32" s="136">
        <v>0.0</v>
      </c>
      <c r="I32" s="136">
        <v>850.0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173.51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1500.0</v>
      </c>
      <c r="F34" s="140">
        <v>337.46</v>
      </c>
      <c r="G34" s="140">
        <v>0.0</v>
      </c>
      <c r="H34" s="140">
        <v>0.0</v>
      </c>
      <c r="I34" s="140">
        <v>1500.0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1196.25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46356.0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46400.0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46023.0</v>
      </c>
      <c r="T44" s="137">
        <v>46568.0</v>
      </c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2422.5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46568.0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46418.0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1196.25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46355.0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1065.0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850.0</v>
      </c>
      <c r="F54" s="136">
        <v>0.0</v>
      </c>
      <c r="G54" s="136">
        <v>0.0</v>
      </c>
      <c r="H54" s="136">
        <v>0.0</v>
      </c>
      <c r="I54" s="136">
        <v>850.0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46387.0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0.0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46446.0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800.0</v>
      </c>
      <c r="F58" s="136">
        <v>0.0</v>
      </c>
      <c r="G58" s="136">
        <v>0.0</v>
      </c>
      <c r="H58" s="136">
        <v>0.0</v>
      </c>
      <c r="I58" s="136">
        <v>800.0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46387.0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1025.0</v>
      </c>
      <c r="F60" s="136">
        <v>402.88</v>
      </c>
      <c r="G60" s="136">
        <v>0.0</v>
      </c>
      <c r="H60" s="136">
        <v>0.0</v>
      </c>
      <c r="I60" s="136">
        <v>0.0</v>
      </c>
      <c r="J60" s="136">
        <v>0.0</v>
      </c>
      <c r="K60" s="136">
        <v>0.0</v>
      </c>
      <c r="L60" s="136">
        <v>1025.0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0.0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178</v>
      </c>
      <c r="D65" s="135">
        <v>700.0</v>
      </c>
      <c r="E65" s="136">
        <v>825.0</v>
      </c>
      <c r="F65" s="136">
        <v>3263.75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960.0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46442.0</v>
      </c>
    </row>
    <row r="68" ht="18.0" customHeight="1">
      <c r="A68" s="134" t="s">
        <v>91</v>
      </c>
      <c r="B68" s="134" t="s">
        <v>38</v>
      </c>
      <c r="C68" s="134" t="s">
        <v>107</v>
      </c>
      <c r="D68" s="135">
        <v>950.0</v>
      </c>
      <c r="E68" s="136">
        <v>800.0</v>
      </c>
      <c r="F68" s="136">
        <v>960.0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2033.57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800.0</v>
      </c>
      <c r="F70" s="136">
        <v>0.0</v>
      </c>
      <c r="G70" s="136">
        <v>0.0</v>
      </c>
      <c r="H70" s="136">
        <v>0.0</v>
      </c>
      <c r="I70" s="136">
        <v>800.0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1025.0</v>
      </c>
      <c r="F72" s="136">
        <v>-75.81</v>
      </c>
      <c r="G72" s="136">
        <v>0.0</v>
      </c>
      <c r="H72" s="136">
        <v>0.0</v>
      </c>
      <c r="I72" s="136">
        <v>83.0</v>
      </c>
      <c r="J72" s="136">
        <v>0.0</v>
      </c>
      <c r="K72" s="136">
        <v>0.0</v>
      </c>
      <c r="L72" s="136">
        <v>942.0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1117.5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46643.0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29035.0</v>
      </c>
      <c r="F76" s="140">
        <v>14541.89</v>
      </c>
      <c r="G76" s="140">
        <v>0.0</v>
      </c>
      <c r="H76" s="140">
        <v>0.0</v>
      </c>
      <c r="I76" s="140">
        <v>27003.0</v>
      </c>
      <c r="J76" s="140">
        <v>0.0</v>
      </c>
      <c r="K76" s="140">
        <v>0.0</v>
      </c>
      <c r="L76" s="140">
        <v>1967.0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900.0</v>
      </c>
      <c r="F78" s="136">
        <v>0.0</v>
      </c>
      <c r="G78" s="136">
        <v>0.0</v>
      </c>
      <c r="H78" s="136">
        <v>0.0</v>
      </c>
      <c r="I78" s="136">
        <v>0.0</v>
      </c>
      <c r="J78" s="136">
        <v>0.0</v>
      </c>
      <c r="K78" s="136">
        <v>0.0</v>
      </c>
      <c r="L78" s="136">
        <v>900.0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39</v>
      </c>
      <c r="D79" s="135">
        <v>1400.0</v>
      </c>
      <c r="E79" s="136">
        <v>1350.0</v>
      </c>
      <c r="F79" s="136">
        <v>0.0</v>
      </c>
      <c r="G79" s="136">
        <v>0.0</v>
      </c>
      <c r="H79" s="136">
        <v>0.0</v>
      </c>
      <c r="I79" s="136">
        <v>1350.0</v>
      </c>
      <c r="J79" s="136">
        <v>0.0</v>
      </c>
      <c r="K79" s="136">
        <v>0.0</v>
      </c>
      <c r="L79" s="136">
        <v>0.0</v>
      </c>
      <c r="M79" s="136">
        <v>0.0</v>
      </c>
      <c r="N79" s="136">
        <v>0.0</v>
      </c>
      <c r="O79" s="136">
        <v>0.0</v>
      </c>
      <c r="P79" s="136">
        <v>0.0</v>
      </c>
      <c r="Q79" s="136">
        <v>0.0</v>
      </c>
      <c r="R79" s="136">
        <v>0.0</v>
      </c>
      <c r="S79" s="137">
        <v>46004.0</v>
      </c>
      <c r="T79" s="137">
        <v>46356.0</v>
      </c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39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46173.0</v>
      </c>
    </row>
    <row r="82" ht="18.0" customHeight="1">
      <c r="A82" s="134" t="s">
        <v>108</v>
      </c>
      <c r="B82" s="134" t="s">
        <v>104</v>
      </c>
      <c r="C82" s="134" t="s">
        <v>47</v>
      </c>
      <c r="D82" s="135">
        <v>1400.0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7"/>
      <c r="T82" s="137"/>
    </row>
    <row r="83" ht="18.0" customHeight="1">
      <c r="A83" s="134" t="s">
        <v>109</v>
      </c>
      <c r="B83" s="134" t="s">
        <v>38</v>
      </c>
      <c r="C83" s="134" t="s">
        <v>39</v>
      </c>
      <c r="D83" s="135">
        <v>1400.0</v>
      </c>
      <c r="E83" s="136">
        <v>1099.0</v>
      </c>
      <c r="F83" s="136">
        <v>0.0</v>
      </c>
      <c r="G83" s="136">
        <v>0.0</v>
      </c>
      <c r="H83" s="136">
        <v>0.0</v>
      </c>
      <c r="I83" s="136">
        <v>1099.0</v>
      </c>
      <c r="J83" s="136">
        <v>0.0</v>
      </c>
      <c r="K83" s="136">
        <v>0.0</v>
      </c>
      <c r="L83" s="136">
        <v>0.0</v>
      </c>
      <c r="M83" s="136">
        <v>0.0</v>
      </c>
      <c r="N83" s="136">
        <v>0.0</v>
      </c>
      <c r="O83" s="136">
        <v>0.0</v>
      </c>
      <c r="P83" s="136">
        <v>0.0</v>
      </c>
      <c r="Q83" s="136">
        <v>0.0</v>
      </c>
      <c r="R83" s="136">
        <v>0.0</v>
      </c>
      <c r="S83" s="137">
        <v>45992.0</v>
      </c>
      <c r="T83" s="137">
        <v>46356.0</v>
      </c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-10.01</v>
      </c>
      <c r="G84" s="136">
        <v>0.0</v>
      </c>
      <c r="H84" s="136">
        <v>0.0</v>
      </c>
      <c r="I84" s="136">
        <v>65.0</v>
      </c>
      <c r="J84" s="136">
        <v>0.0</v>
      </c>
      <c r="K84" s="136">
        <v>0.0</v>
      </c>
      <c r="L84" s="136">
        <v>835.0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39</v>
      </c>
      <c r="D86" s="135">
        <v>1400.0</v>
      </c>
      <c r="E86" s="136">
        <v>1099.0</v>
      </c>
      <c r="F86" s="136">
        <v>496.32</v>
      </c>
      <c r="G86" s="136">
        <v>0.0</v>
      </c>
      <c r="H86" s="136">
        <v>0.0</v>
      </c>
      <c r="I86" s="136">
        <v>1099.0</v>
      </c>
      <c r="J86" s="136">
        <v>0.0</v>
      </c>
      <c r="K86" s="136">
        <v>0.0</v>
      </c>
      <c r="L86" s="136">
        <v>0.0</v>
      </c>
      <c r="M86" s="136">
        <v>0.0</v>
      </c>
      <c r="N86" s="136">
        <v>0.0</v>
      </c>
      <c r="O86" s="136">
        <v>0.0</v>
      </c>
      <c r="P86" s="136">
        <v>0.0</v>
      </c>
      <c r="Q86" s="136">
        <v>0.0</v>
      </c>
      <c r="R86" s="136">
        <v>0.0</v>
      </c>
      <c r="S86" s="137">
        <v>46002.0</v>
      </c>
      <c r="T86" s="137">
        <v>46356.0</v>
      </c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100.0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1716.4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297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107</v>
      </c>
      <c r="D93" s="135">
        <v>1400.0</v>
      </c>
      <c r="E93" s="136">
        <v>1150.0</v>
      </c>
      <c r="F93" s="136">
        <v>35.0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20.0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258.05</v>
      </c>
      <c r="G95" s="136">
        <v>0.0</v>
      </c>
      <c r="H95" s="136">
        <v>0.0</v>
      </c>
      <c r="I95" s="136">
        <v>371.0</v>
      </c>
      <c r="J95" s="136">
        <v>0.0</v>
      </c>
      <c r="K95" s="136">
        <v>0.0</v>
      </c>
      <c r="L95" s="136">
        <v>529.0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104</v>
      </c>
      <c r="C96" s="134" t="s">
        <v>39</v>
      </c>
      <c r="D96" s="135">
        <v>1400.0</v>
      </c>
      <c r="E96" s="136">
        <v>1365.0</v>
      </c>
      <c r="F96" s="136">
        <v>0.0</v>
      </c>
      <c r="G96" s="136">
        <v>0.0</v>
      </c>
      <c r="H96" s="136">
        <v>0.0</v>
      </c>
      <c r="I96" s="136">
        <v>1350.0</v>
      </c>
      <c r="J96" s="136">
        <v>0.0</v>
      </c>
      <c r="K96" s="136">
        <v>0.0</v>
      </c>
      <c r="L96" s="136">
        <v>0.0</v>
      </c>
      <c r="M96" s="136">
        <v>0.0</v>
      </c>
      <c r="N96" s="136">
        <v>0.0</v>
      </c>
      <c r="O96" s="136">
        <v>0.0</v>
      </c>
      <c r="P96" s="136">
        <v>0.0</v>
      </c>
      <c r="Q96" s="136">
        <v>0.0</v>
      </c>
      <c r="R96" s="136">
        <v>15.0</v>
      </c>
      <c r="S96" s="137">
        <v>46006.0</v>
      </c>
      <c r="T96" s="137">
        <v>46356.0</v>
      </c>
    </row>
    <row r="97" ht="18.0" customHeight="1">
      <c r="A97" s="134" t="s">
        <v>124</v>
      </c>
      <c r="B97" s="134" t="s">
        <v>115</v>
      </c>
      <c r="C97" s="134" t="s">
        <v>178</v>
      </c>
      <c r="D97" s="135">
        <v>1400.0</v>
      </c>
      <c r="E97" s="136">
        <v>1300.0</v>
      </c>
      <c r="F97" s="136">
        <v>5635.0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0.0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0.0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>
        <v>46356.0</v>
      </c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0.0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39</v>
      </c>
      <c r="D108" s="135">
        <v>1400.0</v>
      </c>
      <c r="E108" s="136">
        <v>1139.0</v>
      </c>
      <c r="F108" s="136">
        <v>15.0</v>
      </c>
      <c r="G108" s="136">
        <v>0.0</v>
      </c>
      <c r="H108" s="136">
        <v>0.0</v>
      </c>
      <c r="I108" s="136">
        <v>1099.0</v>
      </c>
      <c r="J108" s="136">
        <v>0.0</v>
      </c>
      <c r="K108" s="136">
        <v>0.0</v>
      </c>
      <c r="L108" s="136">
        <v>0.0</v>
      </c>
      <c r="M108" s="136">
        <v>0.0</v>
      </c>
      <c r="N108" s="136">
        <v>0.0</v>
      </c>
      <c r="O108" s="136">
        <v>25.0</v>
      </c>
      <c r="P108" s="136">
        <v>0.0</v>
      </c>
      <c r="Q108" s="136">
        <v>0.0</v>
      </c>
      <c r="R108" s="136">
        <v>15.0</v>
      </c>
      <c r="S108" s="137">
        <v>46037.0</v>
      </c>
      <c r="T108" s="137">
        <v>46387.0</v>
      </c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39</v>
      </c>
      <c r="D113" s="135">
        <v>1400.0</v>
      </c>
      <c r="E113" s="136">
        <v>1099.0</v>
      </c>
      <c r="F113" s="136">
        <v>1192.95</v>
      </c>
      <c r="G113" s="136">
        <v>0.0</v>
      </c>
      <c r="H113" s="136">
        <v>0.0</v>
      </c>
      <c r="I113" s="136">
        <v>1099.0</v>
      </c>
      <c r="J113" s="136">
        <v>0.0</v>
      </c>
      <c r="K113" s="136">
        <v>0.0</v>
      </c>
      <c r="L113" s="136">
        <v>0.0</v>
      </c>
      <c r="M113" s="136">
        <v>0.0</v>
      </c>
      <c r="N113" s="136">
        <v>0.0</v>
      </c>
      <c r="O113" s="136">
        <v>0.0</v>
      </c>
      <c r="P113" s="136">
        <v>0.0</v>
      </c>
      <c r="Q113" s="136">
        <v>0.0</v>
      </c>
      <c r="R113" s="136">
        <v>0.0</v>
      </c>
      <c r="S113" s="137">
        <v>46031.0</v>
      </c>
      <c r="T113" s="137">
        <v>46387.0</v>
      </c>
    </row>
    <row r="114" ht="18.0" customHeight="1">
      <c r="A114" s="134" t="s">
        <v>141</v>
      </c>
      <c r="B114" s="134" t="s">
        <v>38</v>
      </c>
      <c r="C114" s="134" t="s">
        <v>47</v>
      </c>
      <c r="D114" s="135">
        <v>1400.0</v>
      </c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7"/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0.0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45992.0</v>
      </c>
      <c r="T115" s="137">
        <v>46356.0</v>
      </c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-108.0</v>
      </c>
      <c r="G116" s="136">
        <v>0.0</v>
      </c>
      <c r="H116" s="136">
        <v>0.0</v>
      </c>
      <c r="I116" s="136">
        <v>125.0</v>
      </c>
      <c r="J116" s="136">
        <v>0.0</v>
      </c>
      <c r="K116" s="136">
        <v>0.0</v>
      </c>
      <c r="L116" s="136">
        <v>850.0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45992.0</v>
      </c>
      <c r="T116" s="137">
        <v>46356.0</v>
      </c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0.0</v>
      </c>
      <c r="G118" s="136">
        <v>0.0</v>
      </c>
      <c r="H118" s="136">
        <v>0.0</v>
      </c>
      <c r="I118" s="136">
        <v>334.0</v>
      </c>
      <c r="J118" s="136">
        <v>0.0</v>
      </c>
      <c r="K118" s="136">
        <v>0.0</v>
      </c>
      <c r="L118" s="136">
        <v>1016.0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74.5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719.5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1400.0</v>
      </c>
      <c r="F125" s="136">
        <v>0.0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50.0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37.5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47</v>
      </c>
      <c r="D128" s="135">
        <v>1400.0</v>
      </c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7"/>
      <c r="T128" s="137"/>
    </row>
    <row r="129" ht="18.0" customHeight="1">
      <c r="A129" s="138" t="s">
        <v>156</v>
      </c>
      <c r="B129" s="138"/>
      <c r="C129" s="138" t="s">
        <v>157</v>
      </c>
      <c r="D129" s="139">
        <v>71400.0</v>
      </c>
      <c r="E129" s="140">
        <v>45436.0</v>
      </c>
      <c r="F129" s="140">
        <v>10182.21</v>
      </c>
      <c r="G129" s="140">
        <v>0.0</v>
      </c>
      <c r="H129" s="140">
        <v>0.0</v>
      </c>
      <c r="I129" s="140">
        <v>38461.0</v>
      </c>
      <c r="J129" s="140">
        <v>0.0</v>
      </c>
      <c r="K129" s="140">
        <v>0.0</v>
      </c>
      <c r="L129" s="140">
        <v>6870.0</v>
      </c>
      <c r="M129" s="140">
        <v>0.0</v>
      </c>
      <c r="N129" s="140">
        <v>0.0</v>
      </c>
      <c r="O129" s="140">
        <v>75.0</v>
      </c>
      <c r="P129" s="140">
        <v>0.0</v>
      </c>
      <c r="Q129" s="140">
        <v>0.0</v>
      </c>
      <c r="R129" s="140">
        <v>30.0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122.0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0.0</v>
      </c>
      <c r="G132" s="136">
        <v>900.0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432.0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0.0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-143.0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0.0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39</v>
      </c>
      <c r="D138" s="135">
        <v>800.0</v>
      </c>
      <c r="E138" s="136">
        <v>740.0</v>
      </c>
      <c r="F138" s="136">
        <v>767.25</v>
      </c>
      <c r="G138" s="136">
        <v>0.0</v>
      </c>
      <c r="H138" s="136">
        <v>0.0</v>
      </c>
      <c r="I138" s="136">
        <v>18.0</v>
      </c>
      <c r="J138" s="136">
        <v>0.0</v>
      </c>
      <c r="K138" s="136">
        <v>0.0</v>
      </c>
      <c r="L138" s="136">
        <v>0.0</v>
      </c>
      <c r="M138" s="136">
        <v>0.0</v>
      </c>
      <c r="N138" s="136">
        <v>707.0</v>
      </c>
      <c r="O138" s="136">
        <v>0.0</v>
      </c>
      <c r="P138" s="136">
        <v>0.0</v>
      </c>
      <c r="Q138" s="136">
        <v>0.0</v>
      </c>
      <c r="R138" s="136">
        <v>15.0</v>
      </c>
      <c r="S138" s="137">
        <v>46031.0</v>
      </c>
      <c r="T138" s="137">
        <v>46395.0</v>
      </c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1050.0</v>
      </c>
      <c r="F139" s="136">
        <v>1210.0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1000.0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>
        <v>46203.0</v>
      </c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0.0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1225.0</v>
      </c>
      <c r="F141" s="136">
        <v>0.0</v>
      </c>
      <c r="G141" s="136">
        <v>0.0</v>
      </c>
      <c r="H141" s="136">
        <v>50.0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1280.0</v>
      </c>
      <c r="F143" s="136">
        <v>50.0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1200.0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>
        <v>46387.0</v>
      </c>
    </row>
    <row r="144" ht="18.0" customHeight="1">
      <c r="A144" s="134" t="s">
        <v>173</v>
      </c>
      <c r="B144" s="134" t="s">
        <v>168</v>
      </c>
      <c r="C144" s="134" t="s">
        <v>39</v>
      </c>
      <c r="D144" s="135">
        <v>1000.0</v>
      </c>
      <c r="E144" s="136">
        <v>1125.0</v>
      </c>
      <c r="F144" s="136">
        <v>0.0</v>
      </c>
      <c r="G144" s="136">
        <v>0.0</v>
      </c>
      <c r="H144" s="136">
        <v>0.0</v>
      </c>
      <c r="I144" s="136">
        <v>1125.0</v>
      </c>
      <c r="J144" s="136">
        <v>0.0</v>
      </c>
      <c r="K144" s="136">
        <v>0.0</v>
      </c>
      <c r="L144" s="136">
        <v>0.0</v>
      </c>
      <c r="M144" s="136">
        <v>0.0</v>
      </c>
      <c r="N144" s="136">
        <v>0.0</v>
      </c>
      <c r="O144" s="136">
        <v>0.0</v>
      </c>
      <c r="P144" s="136">
        <v>0.0</v>
      </c>
      <c r="Q144" s="136">
        <v>0.0</v>
      </c>
      <c r="R144" s="136">
        <v>0.0</v>
      </c>
      <c r="S144" s="137">
        <v>45996.0</v>
      </c>
      <c r="T144" s="137">
        <v>46356.0</v>
      </c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421.0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46568.0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443.0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0.0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0.0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1065.0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>
        <v>46356.0</v>
      </c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1000.0</v>
      </c>
      <c r="F153" s="136">
        <v>-211.0</v>
      </c>
      <c r="G153" s="136">
        <v>0.0</v>
      </c>
      <c r="H153" s="136">
        <v>0.0</v>
      </c>
      <c r="I153" s="136">
        <v>255.0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>
        <v>46387.0</v>
      </c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1733.93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283.0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>
        <v>46418.0</v>
      </c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-35.0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>
        <v>46326.0</v>
      </c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0.0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39</v>
      </c>
      <c r="D159" s="135">
        <v>850.0</v>
      </c>
      <c r="E159" s="136">
        <v>980.0</v>
      </c>
      <c r="F159" s="136">
        <v>0.0</v>
      </c>
      <c r="G159" s="136">
        <v>0.0</v>
      </c>
      <c r="H159" s="136">
        <v>0.0</v>
      </c>
      <c r="I159" s="136">
        <v>965.0</v>
      </c>
      <c r="J159" s="136">
        <v>0.0</v>
      </c>
      <c r="K159" s="136">
        <v>0.0</v>
      </c>
      <c r="L159" s="136">
        <v>0.0</v>
      </c>
      <c r="M159" s="136">
        <v>0.0</v>
      </c>
      <c r="N159" s="136">
        <v>0.0</v>
      </c>
      <c r="O159" s="136">
        <v>0.0</v>
      </c>
      <c r="P159" s="136">
        <v>0.0</v>
      </c>
      <c r="Q159" s="136">
        <v>0.0</v>
      </c>
      <c r="R159" s="136">
        <v>15.0</v>
      </c>
      <c r="S159" s="137">
        <v>46023.0</v>
      </c>
      <c r="T159" s="137">
        <v>46387.0</v>
      </c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0.0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>
        <v>46326.0</v>
      </c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-15.0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>
        <v>46387.0</v>
      </c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494.85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11.8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0.0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0.0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47</v>
      </c>
      <c r="D166" s="135">
        <v>850.0</v>
      </c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7"/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46387.0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813.0</v>
      </c>
      <c r="F168" s="136">
        <v>410.0</v>
      </c>
      <c r="G168" s="136">
        <v>0.0</v>
      </c>
      <c r="H168" s="136">
        <v>0.0</v>
      </c>
      <c r="I168" s="136">
        <v>334.0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479.0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46387.0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925.0</v>
      </c>
      <c r="F169" s="136">
        <v>0.0</v>
      </c>
      <c r="G169" s="136">
        <v>0.0</v>
      </c>
      <c r="H169" s="136">
        <v>0.0</v>
      </c>
      <c r="I169" s="136">
        <v>925.0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>
        <v>46387.0</v>
      </c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342</v>
      </c>
      <c r="D171" s="139">
        <v>34800.0</v>
      </c>
      <c r="E171" s="140">
        <v>33959.5</v>
      </c>
      <c r="F171" s="140">
        <v>7039.83</v>
      </c>
      <c r="G171" s="140">
        <v>900.0</v>
      </c>
      <c r="H171" s="140">
        <v>180.0</v>
      </c>
      <c r="I171" s="140">
        <v>16346.0</v>
      </c>
      <c r="J171" s="140">
        <v>0.0</v>
      </c>
      <c r="K171" s="140">
        <v>4541.0</v>
      </c>
      <c r="L171" s="140">
        <v>0.0</v>
      </c>
      <c r="M171" s="140">
        <v>1958.0</v>
      </c>
      <c r="N171" s="140">
        <v>9869.0</v>
      </c>
      <c r="O171" s="140">
        <v>125.0</v>
      </c>
      <c r="P171" s="140">
        <v>0.0</v>
      </c>
      <c r="Q171" s="140">
        <v>0.0</v>
      </c>
      <c r="R171" s="140">
        <v>40.5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910.0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0.0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0.0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954.75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1085.0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107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850.0</v>
      </c>
      <c r="F190" s="136">
        <v>-103.48</v>
      </c>
      <c r="G190" s="136">
        <v>0.0</v>
      </c>
      <c r="H190" s="136">
        <v>0.0</v>
      </c>
      <c r="I190" s="136">
        <v>238.0</v>
      </c>
      <c r="J190" s="136">
        <v>0.0</v>
      </c>
      <c r="K190" s="136">
        <v>0.0</v>
      </c>
      <c r="L190" s="136">
        <v>612.0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39</v>
      </c>
      <c r="D192" s="135">
        <v>825.0</v>
      </c>
      <c r="E192" s="136">
        <v>925.0</v>
      </c>
      <c r="F192" s="136">
        <v>0.0</v>
      </c>
      <c r="G192" s="136">
        <v>0.0</v>
      </c>
      <c r="H192" s="136">
        <v>0.0</v>
      </c>
      <c r="I192" s="136">
        <v>925.0</v>
      </c>
      <c r="J192" s="136">
        <v>0.0</v>
      </c>
      <c r="K192" s="136">
        <v>0.0</v>
      </c>
      <c r="L192" s="136">
        <v>0.0</v>
      </c>
      <c r="M192" s="136">
        <v>0.0</v>
      </c>
      <c r="N192" s="136">
        <v>0.0</v>
      </c>
      <c r="O192" s="136">
        <v>0.0</v>
      </c>
      <c r="P192" s="136">
        <v>0.0</v>
      </c>
      <c r="Q192" s="136">
        <v>0.0</v>
      </c>
      <c r="R192" s="136">
        <v>0.0</v>
      </c>
      <c r="S192" s="137">
        <v>46022.0</v>
      </c>
      <c r="T192" s="137">
        <v>46356.0</v>
      </c>
    </row>
    <row r="193" ht="18.0" customHeight="1">
      <c r="A193" s="134" t="s">
        <v>224</v>
      </c>
      <c r="B193" s="134" t="s">
        <v>56</v>
      </c>
      <c r="C193" s="134" t="s">
        <v>39</v>
      </c>
      <c r="D193" s="135">
        <v>750.0</v>
      </c>
      <c r="E193" s="136">
        <v>840.0</v>
      </c>
      <c r="F193" s="136">
        <v>753.0</v>
      </c>
      <c r="G193" s="136">
        <v>0.0</v>
      </c>
      <c r="H193" s="136">
        <v>0.0</v>
      </c>
      <c r="I193" s="136">
        <v>800.0</v>
      </c>
      <c r="J193" s="136">
        <v>0.0</v>
      </c>
      <c r="K193" s="136">
        <v>0.0</v>
      </c>
      <c r="L193" s="136">
        <v>0.0</v>
      </c>
      <c r="M193" s="136">
        <v>0.0</v>
      </c>
      <c r="N193" s="136">
        <v>0.0</v>
      </c>
      <c r="O193" s="136">
        <v>25.0</v>
      </c>
      <c r="P193" s="136">
        <v>0.0</v>
      </c>
      <c r="Q193" s="136">
        <v>0.0</v>
      </c>
      <c r="R193" s="136">
        <v>15.0</v>
      </c>
      <c r="S193" s="137">
        <v>45987.0</v>
      </c>
      <c r="T193" s="137">
        <v>46326.0</v>
      </c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800.0</v>
      </c>
      <c r="F194" s="136">
        <v>0.0</v>
      </c>
      <c r="G194" s="136">
        <v>0.0</v>
      </c>
      <c r="H194" s="136">
        <v>0.0</v>
      </c>
      <c r="I194" s="136">
        <v>800.0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>
        <v>46568.0</v>
      </c>
    </row>
    <row r="195" ht="18.0" customHeight="1">
      <c r="A195" s="138" t="s">
        <v>226</v>
      </c>
      <c r="B195" s="138"/>
      <c r="C195" s="138" t="s">
        <v>44</v>
      </c>
      <c r="D195" s="139">
        <v>17550.0</v>
      </c>
      <c r="E195" s="140">
        <v>18050.0</v>
      </c>
      <c r="F195" s="140">
        <v>3599.27</v>
      </c>
      <c r="G195" s="140">
        <v>0.0</v>
      </c>
      <c r="H195" s="140">
        <v>0.0</v>
      </c>
      <c r="I195" s="140">
        <v>17398.0</v>
      </c>
      <c r="J195" s="140">
        <v>0.0</v>
      </c>
      <c r="K195" s="140">
        <v>0.0</v>
      </c>
      <c r="L195" s="140">
        <v>612.0</v>
      </c>
      <c r="M195" s="140">
        <v>0.0</v>
      </c>
      <c r="N195" s="140">
        <v>0.0</v>
      </c>
      <c r="O195" s="140">
        <v>25.0</v>
      </c>
      <c r="P195" s="140">
        <v>0.0</v>
      </c>
      <c r="Q195" s="140">
        <v>0.0</v>
      </c>
      <c r="R195" s="140">
        <v>15.0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0.0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0.0</v>
      </c>
      <c r="G199" s="136">
        <v>0.0</v>
      </c>
      <c r="H199" s="136">
        <v>225.0</v>
      </c>
      <c r="I199" s="136">
        <v>122.0</v>
      </c>
      <c r="J199" s="136">
        <v>0.0</v>
      </c>
      <c r="K199" s="136">
        <v>0.0</v>
      </c>
      <c r="L199" s="136">
        <v>903.0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1175.0</v>
      </c>
      <c r="F200" s="136">
        <v>6.7</v>
      </c>
      <c r="G200" s="136">
        <v>0.0</v>
      </c>
      <c r="H200" s="136">
        <v>225.0</v>
      </c>
      <c r="I200" s="136">
        <v>950.0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-690.0</v>
      </c>
      <c r="G202" s="136">
        <v>0.0</v>
      </c>
      <c r="H202" s="136">
        <v>225.0</v>
      </c>
      <c r="I202" s="136">
        <v>144.0</v>
      </c>
      <c r="J202" s="136">
        <v>0.0</v>
      </c>
      <c r="K202" s="136">
        <v>0.0</v>
      </c>
      <c r="L202" s="136">
        <v>881.0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1509.51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1220.0</v>
      </c>
      <c r="F207" s="136">
        <v>-0.26</v>
      </c>
      <c r="G207" s="136">
        <v>0.0</v>
      </c>
      <c r="H207" s="136">
        <v>225.0</v>
      </c>
      <c r="I207" s="136">
        <v>199.0</v>
      </c>
      <c r="J207" s="136">
        <v>0.0</v>
      </c>
      <c r="K207" s="136">
        <v>0.0</v>
      </c>
      <c r="L207" s="136">
        <v>796.0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-91.25</v>
      </c>
      <c r="G208" s="136">
        <v>0.0</v>
      </c>
      <c r="H208" s="136">
        <v>225.0</v>
      </c>
      <c r="I208" s="136">
        <v>222.0</v>
      </c>
      <c r="J208" s="136">
        <v>0.0</v>
      </c>
      <c r="K208" s="136">
        <v>0.0</v>
      </c>
      <c r="L208" s="136">
        <v>803.0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1250.0</v>
      </c>
      <c r="F211" s="136">
        <v>-3.0</v>
      </c>
      <c r="G211" s="136">
        <v>0.0</v>
      </c>
      <c r="H211" s="136">
        <v>225.0</v>
      </c>
      <c r="I211" s="136">
        <v>508.0</v>
      </c>
      <c r="J211" s="136">
        <v>0.0</v>
      </c>
      <c r="K211" s="136">
        <v>0.0</v>
      </c>
      <c r="L211" s="136">
        <v>517.0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634.02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0.0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46568.0</v>
      </c>
    </row>
    <row r="217" ht="18.0" customHeight="1">
      <c r="A217" s="134" t="s">
        <v>84</v>
      </c>
      <c r="B217" s="134" t="s">
        <v>38</v>
      </c>
      <c r="C217" s="134" t="s">
        <v>47</v>
      </c>
      <c r="D217" s="135">
        <v>825.0</v>
      </c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7"/>
      <c r="T217" s="137"/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0.0</v>
      </c>
      <c r="G222" s="136">
        <v>0.0</v>
      </c>
      <c r="H222" s="136">
        <v>225.0</v>
      </c>
      <c r="I222" s="136">
        <v>408.0</v>
      </c>
      <c r="J222" s="136">
        <v>0.0</v>
      </c>
      <c r="K222" s="136">
        <v>0.0</v>
      </c>
      <c r="L222" s="136">
        <v>667.0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46265.0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1225.0</v>
      </c>
      <c r="F225" s="136">
        <v>400.0</v>
      </c>
      <c r="G225" s="136">
        <v>0.0</v>
      </c>
      <c r="H225" s="136">
        <v>225.0</v>
      </c>
      <c r="I225" s="136">
        <v>1000.0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>
        <v>46387.0</v>
      </c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1175.0</v>
      </c>
      <c r="F226" s="136">
        <v>0.0</v>
      </c>
      <c r="G226" s="136">
        <v>0.0</v>
      </c>
      <c r="H226" s="136">
        <v>225.0</v>
      </c>
      <c r="I226" s="136">
        <v>950.0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46387.0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48.75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-20.0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46446.0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1109.25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18.0</v>
      </c>
      <c r="G233" s="136">
        <v>0.0</v>
      </c>
      <c r="H233" s="136">
        <v>225.0</v>
      </c>
      <c r="I233" s="136">
        <v>448.0</v>
      </c>
      <c r="J233" s="136">
        <v>0.0</v>
      </c>
      <c r="K233" s="136">
        <v>0.0</v>
      </c>
      <c r="L233" s="136">
        <v>577.0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343.7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47</v>
      </c>
      <c r="D236" s="135">
        <v>825.0</v>
      </c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7"/>
      <c r="T236" s="137"/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-260.0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47</v>
      </c>
      <c r="D238" s="135">
        <v>825.0</v>
      </c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7"/>
      <c r="T238" s="137"/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-2364.0</v>
      </c>
      <c r="G239" s="136">
        <v>0.0</v>
      </c>
      <c r="H239" s="136">
        <v>125.0</v>
      </c>
      <c r="I239" s="136">
        <v>186.0</v>
      </c>
      <c r="J239" s="136">
        <v>0.0</v>
      </c>
      <c r="K239" s="136">
        <v>0.0</v>
      </c>
      <c r="L239" s="136">
        <v>687.0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1250.0</v>
      </c>
      <c r="F240" s="136">
        <v>-615.8</v>
      </c>
      <c r="G240" s="136">
        <v>0.0</v>
      </c>
      <c r="H240" s="136">
        <v>225.0</v>
      </c>
      <c r="I240" s="136">
        <v>99.0</v>
      </c>
      <c r="J240" s="136">
        <v>0.0</v>
      </c>
      <c r="K240" s="136">
        <v>0.0</v>
      </c>
      <c r="L240" s="136">
        <v>926.0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>
        <v>46302.0</v>
      </c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0.0</v>
      </c>
      <c r="G241" s="136">
        <v>0.0</v>
      </c>
      <c r="H241" s="136">
        <v>225.0</v>
      </c>
      <c r="I241" s="136">
        <v>275.0</v>
      </c>
      <c r="J241" s="136">
        <v>0.0</v>
      </c>
      <c r="K241" s="136">
        <v>0.0</v>
      </c>
      <c r="L241" s="136">
        <v>750.0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-1.1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>
        <v>46387.0</v>
      </c>
    </row>
    <row r="247" ht="18.0" customHeight="1">
      <c r="A247" s="138" t="s">
        <v>244</v>
      </c>
      <c r="B247" s="138"/>
      <c r="C247" s="138" t="s">
        <v>358</v>
      </c>
      <c r="D247" s="139">
        <v>40350.0</v>
      </c>
      <c r="E247" s="140">
        <v>49759.3</v>
      </c>
      <c r="F247" s="140">
        <v>-130.48</v>
      </c>
      <c r="G247" s="140">
        <v>0.0</v>
      </c>
      <c r="H247" s="140">
        <v>8420.8</v>
      </c>
      <c r="I247" s="140">
        <v>32081.5</v>
      </c>
      <c r="J247" s="140">
        <v>0.0</v>
      </c>
      <c r="K247" s="140">
        <v>0.0</v>
      </c>
      <c r="L247" s="140">
        <v>9167.0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600.0</v>
      </c>
      <c r="F249" s="136">
        <v>-1268.33</v>
      </c>
      <c r="G249" s="136">
        <v>0.0</v>
      </c>
      <c r="H249" s="136">
        <v>0.0</v>
      </c>
      <c r="I249" s="136">
        <v>115.0</v>
      </c>
      <c r="J249" s="136">
        <v>485.0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-675.0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46630.0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0.0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0.0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46477.0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150.44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0.0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0.0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0.0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46477.0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-57.07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0.0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-800.0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548.94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0.0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178</v>
      </c>
      <c r="D262" s="135">
        <v>675.0</v>
      </c>
      <c r="E262" s="136">
        <v>775.0</v>
      </c>
      <c r="F262" s="136">
        <v>2301.14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700.0</v>
      </c>
      <c r="F263" s="136">
        <v>550.08</v>
      </c>
      <c r="G263" s="136">
        <v>0.0</v>
      </c>
      <c r="H263" s="136">
        <v>0.0</v>
      </c>
      <c r="I263" s="136">
        <v>700.0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>
        <v>46356.0</v>
      </c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0.0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46447.0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-36.83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370.94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0.0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46403.0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0.0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46418.0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675.0</v>
      </c>
      <c r="F269" s="136">
        <v>-71.01</v>
      </c>
      <c r="G269" s="136">
        <v>0.0</v>
      </c>
      <c r="H269" s="136">
        <v>0.0</v>
      </c>
      <c r="I269" s="136">
        <v>675.0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0.0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834.5</v>
      </c>
      <c r="G271" s="136">
        <v>0.0</v>
      </c>
      <c r="H271" s="136">
        <v>0.0</v>
      </c>
      <c r="I271" s="136">
        <v>750.0</v>
      </c>
      <c r="J271" s="136">
        <v>0.0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46394.0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0.0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46326.0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-582.0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381.47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0.0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765.0</v>
      </c>
      <c r="F276" s="136">
        <v>15.0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15.0</v>
      </c>
      <c r="S276" s="137">
        <v>44742.0</v>
      </c>
      <c r="T276" s="137">
        <v>46356.0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-1.0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807.36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46294.0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22115.0</v>
      </c>
      <c r="F279" s="140">
        <v>2468.63</v>
      </c>
      <c r="G279" s="140">
        <v>0.0</v>
      </c>
      <c r="H279" s="140">
        <v>0.0</v>
      </c>
      <c r="I279" s="140">
        <v>19513.0</v>
      </c>
      <c r="J279" s="140">
        <v>2537.0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15.0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202</v>
      </c>
      <c r="D281" s="139">
        <v>229909.0</v>
      </c>
      <c r="E281" s="140">
        <v>211779.8</v>
      </c>
      <c r="F281" s="140">
        <v>41331.56</v>
      </c>
      <c r="G281" s="140">
        <v>900.0</v>
      </c>
      <c r="H281" s="140">
        <v>8600.8</v>
      </c>
      <c r="I281" s="140">
        <v>163224.5</v>
      </c>
      <c r="J281" s="140">
        <v>3465.0</v>
      </c>
      <c r="K281" s="140">
        <v>4541.0</v>
      </c>
      <c r="L281" s="140">
        <v>18616.0</v>
      </c>
      <c r="M281" s="140">
        <v>1958.0</v>
      </c>
      <c r="N281" s="140">
        <v>9869.0</v>
      </c>
      <c r="O281" s="140">
        <v>450.0</v>
      </c>
      <c r="P281" s="140">
        <v>25.0</v>
      </c>
      <c r="Q281" s="140">
        <v>15.0</v>
      </c>
      <c r="R281" s="140">
        <v>115.5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0.9184081633</v>
      </c>
      <c r="D282" s="145">
        <f t="shared" ref="D282:D284" si="2">IFERROR(
  SUMPRODUCT((A$285:A$295=A282)*D$285:D$295*I$285:I$295) /
  SUMPRODUCT((A$285:A$295=A282)*I$285:I$295),
0)</f>
        <v>0.8902667674</v>
      </c>
      <c r="E282" s="146">
        <f t="shared" ref="E282:E284" si="3">IFERROR(
  SUMPRODUCT((A$285:A$295=A282)*E$285:E$295),
0)
</f>
        <v>2290.59</v>
      </c>
      <c r="F282" s="147">
        <f t="shared" ref="F282:F284" si="4">IFERROR(
  SUMPRODUCT((A$285:A$295=A282)*F$285:F$295),
0)
</f>
        <v>6098.84</v>
      </c>
      <c r="G282" s="148">
        <f t="shared" ref="G282:G284" si="5">IFERROR(
  SUMPRODUCT((A$285:A$295=A282)*G$285:G$295),
0)
</f>
        <v>3</v>
      </c>
      <c r="H282" s="149">
        <f t="shared" ref="H282:H284" si="6">IFERROR(
  SUMPRODUCT((A$285:A$295=A282)*H$285:H$295*I$285:I$295) /
  SUMPRODUCT((A$285:A$295=A282)*I$285:I$295),
0)</f>
        <v>0.8826530612</v>
      </c>
    </row>
    <row r="283" ht="18.0" customHeight="1">
      <c r="A283" s="196" t="s">
        <v>251</v>
      </c>
      <c r="B283" s="153"/>
      <c r="C283" s="154">
        <f t="shared" si="1"/>
        <v>0.8644170854</v>
      </c>
      <c r="D283" s="155">
        <f t="shared" si="2"/>
        <v>0.8487602934</v>
      </c>
      <c r="E283" s="156">
        <f t="shared" si="3"/>
        <v>22398.61</v>
      </c>
      <c r="F283" s="157">
        <f t="shared" si="4"/>
        <v>35232.72</v>
      </c>
      <c r="G283" s="158">
        <f t="shared" si="5"/>
        <v>2</v>
      </c>
      <c r="H283" s="149">
        <f t="shared" si="6"/>
        <v>0.7895918932</v>
      </c>
    </row>
    <row r="284" ht="18.0" customHeight="1">
      <c r="A284" s="160" t="s">
        <v>252</v>
      </c>
      <c r="B284" s="161"/>
      <c r="C284" s="162">
        <f t="shared" si="1"/>
        <v>0</v>
      </c>
      <c r="D284" s="163">
        <f t="shared" si="2"/>
        <v>0</v>
      </c>
      <c r="E284" s="164">
        <f t="shared" si="3"/>
        <v>0</v>
      </c>
      <c r="F284" s="165">
        <f t="shared" si="4"/>
        <v>0</v>
      </c>
      <c r="G284" s="166">
        <f t="shared" si="5"/>
        <v>0</v>
      </c>
      <c r="H284" s="149">
        <f t="shared" si="6"/>
        <v>0</v>
      </c>
    </row>
    <row r="285" ht="18.0" customHeight="1">
      <c r="A285" s="187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"),0.75)</f>
        <v>0.75</v>
      </c>
      <c r="D285" s="172">
        <f t="array" ref="D285">SUM(MAP(E11:E14, F11:F14, LAMBDA(e,f, MAX(0, e-f)))) / SUM(E11:E14)
</f>
        <v>0.8623931624</v>
      </c>
      <c r="E285" s="173">
        <f t="array" ref="E285">SUM(MAP(E$11:E$14, F$11:F$14, LAMBDA(e,f, MIN(e, f))))
</f>
        <v>402.5</v>
      </c>
      <c r="F285" s="174">
        <f>F15</f>
        <v>402.5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"),1.0)</f>
        <v>1</v>
      </c>
      <c r="I285" s="175">
        <v>4.0</v>
      </c>
      <c r="J285" s="177">
        <v>46340.0</v>
      </c>
    </row>
    <row r="286" ht="18.0" customHeight="1">
      <c r="A286" s="187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1</v>
      </c>
      <c r="E286" s="173">
        <f t="array" ref="E286">SUM(MAP(E$17:E$22, F$17:F$22, LAMBDA(e,f, MIN(e, f))))
</f>
        <v>0</v>
      </c>
      <c r="F286" s="174">
        <f>F23</f>
        <v>0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"),0.75)</f>
        <v>0.75</v>
      </c>
      <c r="I286" s="175">
        <v>6.0</v>
      </c>
      <c r="J286" s="179" t="s">
        <v>255</v>
      </c>
    </row>
    <row r="287" ht="18.0" customHeight="1">
      <c r="A287" s="187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"),0.8)</f>
        <v>0.8</v>
      </c>
      <c r="D287" s="172">
        <f t="array" ref="D287">SUM(MAP(E25:E29, F25:F29, LAMBDA(e, f, MAX(0, e - f)))) / SUM(E25:E29)</f>
        <v>0.7521367521</v>
      </c>
      <c r="E287" s="173">
        <f t="array" ref="E287">SUM(MAP(E$25:E$29, F$25:F$29, LAMBDA(e,f, MIN(e, f))))
</f>
        <v>725</v>
      </c>
      <c r="F287" s="174">
        <f>F30</f>
        <v>2890.25</v>
      </c>
      <c r="G287" s="175">
        <f>IFERROR(__xludf.DUMMYFUNCTION("SUMPRODUCT(--(C25:C29&lt;&gt;""Vacant-Unrented""),--(C25:C29&lt;&gt;""Vacant-Rented""),--((N(W25:W29)&gt;N(X25:X29))+N(REGEXMATCH(LOWER(C25:C29),""evict""))&gt;0))"),1.0)</f>
        <v>1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"),0.75)</f>
        <v>0.75</v>
      </c>
      <c r="I287" s="175">
        <v>5.0</v>
      </c>
      <c r="J287" s="179" t="s">
        <v>257</v>
      </c>
    </row>
    <row r="288" ht="18.0" customHeight="1">
      <c r="A288" s="187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0.7750266667</v>
      </c>
      <c r="E288" s="173">
        <f t="array" ref="E288">SUM(MAP(E$32:E$33, F$32:F$33, LAMBDA(e,f, MIN(e, f))))
</f>
        <v>337.46</v>
      </c>
      <c r="F288" s="174">
        <f>F34</f>
        <v>337.46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  <c r="J288" s="179" t="s">
        <v>259</v>
      </c>
    </row>
    <row r="289" ht="18.0" customHeight="1">
      <c r="A289" s="187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1</v>
      </c>
      <c r="E289" s="173">
        <f t="array" ref="E289">SUM(MAP(E$36:E$37, F$36:F$37, LAMBDA(e,f, MIN(e, f))))
</f>
        <v>0</v>
      </c>
      <c r="F289" s="174">
        <f>F38</f>
        <v>0</v>
      </c>
      <c r="G289" s="175">
        <f>IFERROR(__xludf.DUMMYFUNCTION("SUMPRODUCT(--(C40:C75&lt;&gt;""Vacant-Unrented""),--(C40:C75&lt;&gt;""Vacant-Rented""),--((N(W40:W75)&gt;N(X40:X75))+N(REGEXMATCH(LOWER(C40:C75),""evict""))&gt;0))"),1.0)</f>
        <v>1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  <c r="J289" s="179" t="s">
        <v>261</v>
      </c>
    </row>
    <row r="290" ht="18.0" customHeight="1">
      <c r="A290" s="179" t="s">
        <v>251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0.7037344584</v>
      </c>
      <c r="E290" s="173">
        <f t="array" ref="E290">SUM(MAP(E$40:E$75, F$40:F$75, LAMBDA(e,f, MIN(e, f))))
</f>
        <v>8602.07</v>
      </c>
      <c r="F290" s="174">
        <f>F76</f>
        <v>14541.89</v>
      </c>
      <c r="G290" s="175">
        <f>IFERROR(__xludf.DUMMYFUNCTION("SUMPRODUCT(--(C40:C75&lt;&gt;""Vacant-Unrented""),--(C40:C75&lt;&gt;""Vacant-Rented""),--((N(W40:W75)&gt;N(X40:X75))+N(REGEXMATCH(LOWER(C40:C75),""evict""))&gt;0))"),1.0)</f>
        <v>1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"),0.84375)</f>
        <v>0.84375</v>
      </c>
      <c r="I290" s="175">
        <v>36.0</v>
      </c>
      <c r="J290" s="179" t="s">
        <v>263</v>
      </c>
    </row>
    <row r="291" ht="18.0" customHeight="1">
      <c r="A291" s="187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"),0.765)</f>
        <v>0.765</v>
      </c>
      <c r="D291" s="172">
        <f t="array" ref="D291">SUM(MAP(E79:E129, F79:F129, LAMBDA(e,f, MAX(0, e-f)))) / SUM(E79:E129)
</f>
        <v>0.827512226</v>
      </c>
      <c r="E291" s="173">
        <f t="array" ref="E291">SUM(MAP(E$78:E$128, F$78:F$128, LAMBDA(e,f, MIN(e, f))))
</f>
        <v>5336.86</v>
      </c>
      <c r="F291" s="174">
        <f>F129</f>
        <v>10182.21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"),1.0)</f>
        <v>1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"),0.8974358974358975)</f>
        <v>0.8974358974</v>
      </c>
      <c r="I291" s="175">
        <v>51.0</v>
      </c>
      <c r="J291" s="179" t="s">
        <v>265</v>
      </c>
    </row>
    <row r="292" ht="18.0" customHeight="1">
      <c r="A292" s="179" t="s">
        <v>251</v>
      </c>
      <c r="B292" s="170" t="s">
        <v>266</v>
      </c>
      <c r="C292" s="171">
        <f>IFERROR(__xludf.DUMMYFUNCTION("IF(ISNUMBER(SEARCH(""%"",C171)), VALUE(REGEXREPLACE(C171,""[^0-9.]"",""""))/100, VALUE(REGEXREPLACE(C171,""[^0-9.]"","""")))
"),0.925)</f>
        <v>0.925</v>
      </c>
      <c r="D292" s="172">
        <f t="array" ref="D292">SUM(MAP(E131:E170, F131:F170, LAMBDA(e,f, MAX(0, e-f)))) / SUM(E131:E170)
</f>
        <v>0.8277315626</v>
      </c>
      <c r="E292" s="173">
        <f t="array" ref="E292">SUM(MAP(E$131:E$170, F$131:F$170, LAMBDA(e,f, MIN(e, f))))
</f>
        <v>5850.15</v>
      </c>
      <c r="F292" s="174">
        <f>F171</f>
        <v>7039.83</v>
      </c>
      <c r="G292" s="175">
        <f>IFERROR(__xludf.DUMMYFUNCTION("SUMPRODUCT(--(C131:C170&lt;&gt;""Vacant-Unrented""),--(C131:C170&lt;&gt;""Vacant-Rented""),--((N(W131:W170)&gt;N(X131:X170))+N(REGEXMATCH(LOWER(C131:C170),""evict""))&gt;0))"),0.0)</f>
        <v>0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"),0.7567567567567568)</f>
        <v>0.7567567568</v>
      </c>
      <c r="I292" s="175">
        <v>40.0</v>
      </c>
      <c r="J292" s="179" t="s">
        <v>267</v>
      </c>
    </row>
    <row r="293" ht="18.0" customHeight="1">
      <c r="A293" s="197" t="s">
        <v>251</v>
      </c>
      <c r="B293" s="170" t="s">
        <v>268</v>
      </c>
      <c r="C293" s="171">
        <f>IFERROR(__xludf.DUMMYFUNCTION("IF(ISNUMBER(SEARCH(""%"",C195)), VALUE(REGEXREPLACE(C195,""[^0-9.]"",""""))/100, VALUE(REGEXREPLACE(C195,""[^0-9.]"","""")))
"),1.0)</f>
        <v>1</v>
      </c>
      <c r="D293" s="172">
        <f t="array" ref="D293">SUM(MAP(E174:E195, F174:F195, LAMBDA(e,f, MAX(0, e-f)))) / SUM(E174:E195)
</f>
        <v>0.8120270617</v>
      </c>
      <c r="E293" s="173">
        <f t="array" ref="E293">SUM(MAP(E$173:E$194, F$173:F$194, LAMBDA(e,f, MIN(e, f))))
</f>
        <v>2999.52</v>
      </c>
      <c r="F293" s="174">
        <f>F195</f>
        <v>3599.27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"),0.6818181818181818)</f>
        <v>0.6818181818</v>
      </c>
      <c r="I293" s="175">
        <v>22.0</v>
      </c>
      <c r="J293" s="179" t="s">
        <v>269</v>
      </c>
    </row>
    <row r="294" ht="18.0" customHeight="1">
      <c r="A294" s="179" t="s">
        <v>251</v>
      </c>
      <c r="B294" s="170" t="s">
        <v>270</v>
      </c>
      <c r="C294" s="171">
        <f>IFERROR(__xludf.DUMMYFUNCTION("IF(ISNUMBER(SEARCH(""%"",C247)), VALUE(REGEXREPLACE(C247,""[^0-9.]"",""""))/100, VALUE(REGEXREPLACE(C247,""[^0-9.]"","""")))
"),0.84)</f>
        <v>0.84</v>
      </c>
      <c r="D294" s="172">
        <f t="array" ref="D294">SUM(MAP(E197:E246, F197:F246, LAMBDA(e,f, MAX(0, e-f)))) / SUM(E197:E246)
</f>
        <v>1.00783753</v>
      </c>
      <c r="E294" s="173">
        <f t="array" ref="E294">SUM(MAP(E$197:E$246, F$197:F$246, LAMBDA(e,f, MIN(e, f))))
</f>
        <v>-389.99</v>
      </c>
      <c r="F294" s="174">
        <f>F247</f>
        <v>-130.48</v>
      </c>
      <c r="G294" s="175">
        <f>IFERROR(__xludf.DUMMYFUNCTION("SUMPRODUCT(--(C197:C246&lt;&gt;""Vacant-Unrented""),--(C197:C246&lt;&gt;""Vacant-Rented""),--((N(W197:W246)&gt;N(X197:X246))+N(REGEXMATCH(LOWER(C197:C246),""evict""))&gt;0))"),0.0)</f>
        <v>0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"),0.7142857142857143)</f>
        <v>0.7142857143</v>
      </c>
      <c r="I294" s="175">
        <v>50.0</v>
      </c>
      <c r="J294" s="179" t="s">
        <v>271</v>
      </c>
    </row>
    <row r="295" ht="18.0" customHeight="1">
      <c r="A295" s="179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0.8954253954</v>
      </c>
      <c r="E295" s="183">
        <f t="array" ref="E295">SUM(MAP(E$249:E$278, F$249:F$278, LAMBDA(e,f, MIN(e, f))))
</f>
        <v>825.63</v>
      </c>
      <c r="F295" s="184">
        <f>F279</f>
        <v>2468.63</v>
      </c>
      <c r="G295" s="185">
        <f>IFERROR(__xludf.DUMMYFUNCTION("SUMPRODUCT(--(C249:C278&lt;&gt;""Vacant-Unrented""),--(C249:C278&lt;&gt;""Vacant-Rented""),--((N(W249:W278)&gt;N(X249:X278))+N(REGEXMATCH(LOWER(C249:C278),""evict""))&gt;0))"),1.0)</f>
        <v>1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"),0.9)</f>
        <v>0.9</v>
      </c>
      <c r="I295" s="175">
        <v>30.0</v>
      </c>
      <c r="J295" s="179" t="s">
        <v>273</v>
      </c>
    </row>
    <row r="296" ht="18.0" customHeight="1">
      <c r="A296" s="187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0)"),0.8758783269961977)</f>
        <v>0.875878327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"),0.8834204206444618)</f>
        <v>0.8834204206</v>
      </c>
      <c r="E296" s="190">
        <f t="shared" ref="E296:G296" si="7">sum(E285:E295)</f>
        <v>24689.2</v>
      </c>
      <c r="F296" s="190">
        <f t="shared" si="7"/>
        <v>41331.56</v>
      </c>
      <c r="G296" s="191">
        <f t="shared" si="7"/>
        <v>5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"),0.8064516129032258)</f>
        <v>0.8064516129</v>
      </c>
      <c r="I296" s="193"/>
      <c r="J296" s="194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5"/>
    <col customWidth="1" min="7" max="7" width="31.25"/>
    <col customWidth="1" min="8" max="8" width="29.75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28" t="s">
        <v>10</v>
      </c>
    </row>
    <row r="2" ht="18.0" customHeight="1">
      <c r="A2" s="130" t="s">
        <v>364</v>
      </c>
    </row>
    <row r="3" ht="18.0" customHeight="1">
      <c r="A3" s="130"/>
    </row>
    <row r="4" ht="18.0" customHeight="1">
      <c r="A4" s="131" t="s">
        <v>365</v>
      </c>
    </row>
    <row r="5" ht="18.0" customHeight="1">
      <c r="A5" s="131" t="s">
        <v>366</v>
      </c>
    </row>
    <row r="6" ht="18.0" customHeight="1">
      <c r="A6" s="131" t="s">
        <v>367</v>
      </c>
    </row>
    <row r="7" ht="18.0" customHeight="1">
      <c r="A7" s="131" t="s">
        <v>368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332.5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0.0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47</v>
      </c>
      <c r="D14" s="135">
        <v>950.0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7"/>
      <c r="T14" s="137"/>
    </row>
    <row r="15" ht="18.0" customHeight="1">
      <c r="A15" s="138" t="s">
        <v>43</v>
      </c>
      <c r="B15" s="138"/>
      <c r="C15" s="138" t="s">
        <v>313</v>
      </c>
      <c r="D15" s="139">
        <v>3800.0</v>
      </c>
      <c r="E15" s="140">
        <v>2925.0</v>
      </c>
      <c r="F15" s="140">
        <v>332.5</v>
      </c>
      <c r="G15" s="140">
        <v>0.0</v>
      </c>
      <c r="H15" s="140">
        <v>0.0</v>
      </c>
      <c r="I15" s="140">
        <v>2532.0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46443.0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950.0</v>
      </c>
      <c r="F22" s="136">
        <v>0.0</v>
      </c>
      <c r="G22" s="136">
        <v>0.0</v>
      </c>
      <c r="H22" s="136">
        <v>0.0</v>
      </c>
      <c r="I22" s="136">
        <v>925.0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25.0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3675.0</v>
      </c>
      <c r="F23" s="140">
        <v>0.0</v>
      </c>
      <c r="G23" s="140">
        <v>0.0</v>
      </c>
      <c r="H23" s="140">
        <v>0.0</v>
      </c>
      <c r="I23" s="140">
        <v>3065.0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50.0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47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178</v>
      </c>
      <c r="D28" s="135">
        <v>621.0</v>
      </c>
      <c r="E28" s="136">
        <v>725.0</v>
      </c>
      <c r="F28" s="136">
        <v>2820.25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46431.0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2820.25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850.0</v>
      </c>
      <c r="F32" s="136">
        <v>93.95</v>
      </c>
      <c r="G32" s="136">
        <v>0.0</v>
      </c>
      <c r="H32" s="136">
        <v>0.0</v>
      </c>
      <c r="I32" s="136">
        <v>850.0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103.51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1500.0</v>
      </c>
      <c r="F34" s="140">
        <v>197.46</v>
      </c>
      <c r="G34" s="140">
        <v>0.0</v>
      </c>
      <c r="H34" s="140">
        <v>0.0</v>
      </c>
      <c r="I34" s="140">
        <v>1500.0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1126.25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46356.0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46400.0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46023.0</v>
      </c>
      <c r="T44" s="137">
        <v>46568.0</v>
      </c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2352.5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46568.0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45954.0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1126.25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46355.0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995.0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850.0</v>
      </c>
      <c r="F54" s="136">
        <v>0.0</v>
      </c>
      <c r="G54" s="136">
        <v>0.0</v>
      </c>
      <c r="H54" s="136">
        <v>0.0</v>
      </c>
      <c r="I54" s="136">
        <v>850.0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46387.0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942.5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46081.0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800.0</v>
      </c>
      <c r="F58" s="136">
        <v>0.0</v>
      </c>
      <c r="G58" s="136">
        <v>0.0</v>
      </c>
      <c r="H58" s="136">
        <v>0.0</v>
      </c>
      <c r="I58" s="136">
        <v>800.0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46387.0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1025.0</v>
      </c>
      <c r="F60" s="136">
        <v>402.88</v>
      </c>
      <c r="G60" s="136">
        <v>0.0</v>
      </c>
      <c r="H60" s="136">
        <v>0.0</v>
      </c>
      <c r="I60" s="136">
        <v>0.0</v>
      </c>
      <c r="J60" s="136">
        <v>0.0</v>
      </c>
      <c r="K60" s="136">
        <v>0.0</v>
      </c>
      <c r="L60" s="136">
        <v>1025.0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0.0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178</v>
      </c>
      <c r="D65" s="135">
        <v>700.0</v>
      </c>
      <c r="E65" s="136">
        <v>825.0</v>
      </c>
      <c r="F65" s="136">
        <v>3193.75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890.0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46442.0</v>
      </c>
    </row>
    <row r="68" ht="18.0" customHeight="1">
      <c r="A68" s="134" t="s">
        <v>91</v>
      </c>
      <c r="B68" s="134" t="s">
        <v>38</v>
      </c>
      <c r="C68" s="134" t="s">
        <v>107</v>
      </c>
      <c r="D68" s="135">
        <v>950.0</v>
      </c>
      <c r="E68" s="136">
        <v>800.0</v>
      </c>
      <c r="F68" s="136">
        <v>890.0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1963.57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800.0</v>
      </c>
      <c r="F70" s="136">
        <v>0.0</v>
      </c>
      <c r="G70" s="136">
        <v>0.0</v>
      </c>
      <c r="H70" s="136">
        <v>0.0</v>
      </c>
      <c r="I70" s="136">
        <v>800.0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1025.0</v>
      </c>
      <c r="F72" s="136">
        <v>-75.81</v>
      </c>
      <c r="G72" s="136">
        <v>0.0</v>
      </c>
      <c r="H72" s="136">
        <v>0.0</v>
      </c>
      <c r="I72" s="136">
        <v>83.0</v>
      </c>
      <c r="J72" s="136">
        <v>0.0</v>
      </c>
      <c r="K72" s="136">
        <v>0.0</v>
      </c>
      <c r="L72" s="136">
        <v>942.0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1047.5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46643.0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29035.0</v>
      </c>
      <c r="F76" s="140">
        <v>14854.39</v>
      </c>
      <c r="G76" s="140">
        <v>0.0</v>
      </c>
      <c r="H76" s="140">
        <v>0.0</v>
      </c>
      <c r="I76" s="140">
        <v>27003.0</v>
      </c>
      <c r="J76" s="140">
        <v>0.0</v>
      </c>
      <c r="K76" s="140">
        <v>0.0</v>
      </c>
      <c r="L76" s="140">
        <v>1967.0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900.0</v>
      </c>
      <c r="F78" s="136">
        <v>0.0</v>
      </c>
      <c r="G78" s="136">
        <v>0.0</v>
      </c>
      <c r="H78" s="136">
        <v>0.0</v>
      </c>
      <c r="I78" s="136">
        <v>0.0</v>
      </c>
      <c r="J78" s="136">
        <v>0.0</v>
      </c>
      <c r="K78" s="136">
        <v>0.0</v>
      </c>
      <c r="L78" s="136">
        <v>900.0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39</v>
      </c>
      <c r="D79" s="135">
        <v>1400.0</v>
      </c>
      <c r="E79" s="136">
        <v>1350.0</v>
      </c>
      <c r="F79" s="136">
        <v>0.0</v>
      </c>
      <c r="G79" s="136">
        <v>0.0</v>
      </c>
      <c r="H79" s="136">
        <v>0.0</v>
      </c>
      <c r="I79" s="136">
        <v>1350.0</v>
      </c>
      <c r="J79" s="136">
        <v>0.0</v>
      </c>
      <c r="K79" s="136">
        <v>0.0</v>
      </c>
      <c r="L79" s="136">
        <v>0.0</v>
      </c>
      <c r="M79" s="136">
        <v>0.0</v>
      </c>
      <c r="N79" s="136">
        <v>0.0</v>
      </c>
      <c r="O79" s="136">
        <v>0.0</v>
      </c>
      <c r="P79" s="136">
        <v>0.0</v>
      </c>
      <c r="Q79" s="136">
        <v>0.0</v>
      </c>
      <c r="R79" s="136">
        <v>0.0</v>
      </c>
      <c r="S79" s="137">
        <v>46004.0</v>
      </c>
      <c r="T79" s="137">
        <v>46356.0</v>
      </c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39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46173.0</v>
      </c>
    </row>
    <row r="82" ht="18.0" customHeight="1">
      <c r="A82" s="134" t="s">
        <v>108</v>
      </c>
      <c r="B82" s="134" t="s">
        <v>104</v>
      </c>
      <c r="C82" s="134" t="s">
        <v>47</v>
      </c>
      <c r="D82" s="135">
        <v>1400.0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7"/>
      <c r="T82" s="137"/>
    </row>
    <row r="83" ht="18.0" customHeight="1">
      <c r="A83" s="134" t="s">
        <v>109</v>
      </c>
      <c r="B83" s="134" t="s">
        <v>38</v>
      </c>
      <c r="C83" s="134" t="s">
        <v>39</v>
      </c>
      <c r="D83" s="135">
        <v>1400.0</v>
      </c>
      <c r="E83" s="136">
        <v>1099.0</v>
      </c>
      <c r="F83" s="136">
        <v>0.0</v>
      </c>
      <c r="G83" s="136">
        <v>0.0</v>
      </c>
      <c r="H83" s="136">
        <v>0.0</v>
      </c>
      <c r="I83" s="136">
        <v>1099.0</v>
      </c>
      <c r="J83" s="136">
        <v>0.0</v>
      </c>
      <c r="K83" s="136">
        <v>0.0</v>
      </c>
      <c r="L83" s="136">
        <v>0.0</v>
      </c>
      <c r="M83" s="136">
        <v>0.0</v>
      </c>
      <c r="N83" s="136">
        <v>0.0</v>
      </c>
      <c r="O83" s="136">
        <v>0.0</v>
      </c>
      <c r="P83" s="136">
        <v>0.0</v>
      </c>
      <c r="Q83" s="136">
        <v>0.0</v>
      </c>
      <c r="R83" s="136">
        <v>0.0</v>
      </c>
      <c r="S83" s="137">
        <v>45992.0</v>
      </c>
      <c r="T83" s="137">
        <v>46356.0</v>
      </c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-10.01</v>
      </c>
      <c r="G84" s="136">
        <v>0.0</v>
      </c>
      <c r="H84" s="136">
        <v>0.0</v>
      </c>
      <c r="I84" s="136">
        <v>65.0</v>
      </c>
      <c r="J84" s="136">
        <v>0.0</v>
      </c>
      <c r="K84" s="136">
        <v>0.0</v>
      </c>
      <c r="L84" s="136">
        <v>835.0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39</v>
      </c>
      <c r="D86" s="135">
        <v>1400.0</v>
      </c>
      <c r="E86" s="136">
        <v>1099.0</v>
      </c>
      <c r="F86" s="136">
        <v>496.32</v>
      </c>
      <c r="G86" s="136">
        <v>0.0</v>
      </c>
      <c r="H86" s="136">
        <v>0.0</v>
      </c>
      <c r="I86" s="136">
        <v>1099.0</v>
      </c>
      <c r="J86" s="136">
        <v>0.0</v>
      </c>
      <c r="K86" s="136">
        <v>0.0</v>
      </c>
      <c r="L86" s="136">
        <v>0.0</v>
      </c>
      <c r="M86" s="136">
        <v>0.0</v>
      </c>
      <c r="N86" s="136">
        <v>0.0</v>
      </c>
      <c r="O86" s="136">
        <v>0.0</v>
      </c>
      <c r="P86" s="136">
        <v>0.0</v>
      </c>
      <c r="Q86" s="136">
        <v>0.0</v>
      </c>
      <c r="R86" s="136">
        <v>0.0</v>
      </c>
      <c r="S86" s="137">
        <v>46002.0</v>
      </c>
      <c r="T86" s="137">
        <v>46356.0</v>
      </c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1095.0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1646.4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47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107</v>
      </c>
      <c r="D93" s="135">
        <v>1400.0</v>
      </c>
      <c r="E93" s="136">
        <v>1150.0</v>
      </c>
      <c r="F93" s="136">
        <v>35.0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20.0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463.05</v>
      </c>
      <c r="G95" s="136">
        <v>0.0</v>
      </c>
      <c r="H95" s="136">
        <v>0.0</v>
      </c>
      <c r="I95" s="136">
        <v>371.0</v>
      </c>
      <c r="J95" s="136">
        <v>0.0</v>
      </c>
      <c r="K95" s="136">
        <v>0.0</v>
      </c>
      <c r="L95" s="136">
        <v>529.0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104</v>
      </c>
      <c r="C96" s="134" t="s">
        <v>39</v>
      </c>
      <c r="D96" s="135">
        <v>1400.0</v>
      </c>
      <c r="E96" s="136">
        <v>1365.0</v>
      </c>
      <c r="F96" s="136">
        <v>0.0</v>
      </c>
      <c r="G96" s="136">
        <v>0.0</v>
      </c>
      <c r="H96" s="136">
        <v>0.0</v>
      </c>
      <c r="I96" s="136">
        <v>1350.0</v>
      </c>
      <c r="J96" s="136">
        <v>0.0</v>
      </c>
      <c r="K96" s="136">
        <v>0.0</v>
      </c>
      <c r="L96" s="136">
        <v>0.0</v>
      </c>
      <c r="M96" s="136">
        <v>0.0</v>
      </c>
      <c r="N96" s="136">
        <v>0.0</v>
      </c>
      <c r="O96" s="136">
        <v>0.0</v>
      </c>
      <c r="P96" s="136">
        <v>0.0</v>
      </c>
      <c r="Q96" s="136">
        <v>0.0</v>
      </c>
      <c r="R96" s="136">
        <v>15.0</v>
      </c>
      <c r="S96" s="137">
        <v>46006.0</v>
      </c>
      <c r="T96" s="137">
        <v>46356.0</v>
      </c>
    </row>
    <row r="97" ht="18.0" customHeight="1">
      <c r="A97" s="134" t="s">
        <v>124</v>
      </c>
      <c r="B97" s="134" t="s">
        <v>115</v>
      </c>
      <c r="C97" s="134" t="s">
        <v>178</v>
      </c>
      <c r="D97" s="135">
        <v>1400.0</v>
      </c>
      <c r="E97" s="136">
        <v>1300.0</v>
      </c>
      <c r="F97" s="136">
        <v>5565.0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0.0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1535.0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>
        <v>46356.0</v>
      </c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0.0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297</v>
      </c>
      <c r="D108" s="135">
        <v>1400.0</v>
      </c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7"/>
      <c r="T108" s="137"/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39</v>
      </c>
      <c r="D113" s="135">
        <v>1400.0</v>
      </c>
      <c r="E113" s="136">
        <v>1099.0</v>
      </c>
      <c r="F113" s="136">
        <v>1098.0</v>
      </c>
      <c r="G113" s="136">
        <v>0.0</v>
      </c>
      <c r="H113" s="136">
        <v>0.0</v>
      </c>
      <c r="I113" s="136">
        <v>1099.0</v>
      </c>
      <c r="J113" s="136">
        <v>0.0</v>
      </c>
      <c r="K113" s="136">
        <v>0.0</v>
      </c>
      <c r="L113" s="136">
        <v>0.0</v>
      </c>
      <c r="M113" s="136">
        <v>0.0</v>
      </c>
      <c r="N113" s="136">
        <v>0.0</v>
      </c>
      <c r="O113" s="136">
        <v>0.0</v>
      </c>
      <c r="P113" s="136">
        <v>0.0</v>
      </c>
      <c r="Q113" s="136">
        <v>0.0</v>
      </c>
      <c r="R113" s="136">
        <v>0.0</v>
      </c>
      <c r="S113" s="137">
        <v>46031.0</v>
      </c>
      <c r="T113" s="137">
        <v>46387.0</v>
      </c>
    </row>
    <row r="114" ht="18.0" customHeight="1">
      <c r="A114" s="134" t="s">
        <v>141</v>
      </c>
      <c r="B114" s="134" t="s">
        <v>38</v>
      </c>
      <c r="C114" s="134" t="s">
        <v>47</v>
      </c>
      <c r="D114" s="135">
        <v>1400.0</v>
      </c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7"/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1205.0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45992.0</v>
      </c>
      <c r="T115" s="137">
        <v>46356.0</v>
      </c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-108.0</v>
      </c>
      <c r="G116" s="136">
        <v>0.0</v>
      </c>
      <c r="H116" s="136">
        <v>0.0</v>
      </c>
      <c r="I116" s="136">
        <v>125.0</v>
      </c>
      <c r="J116" s="136">
        <v>0.0</v>
      </c>
      <c r="K116" s="136">
        <v>0.0</v>
      </c>
      <c r="L116" s="136">
        <v>850.0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45992.0</v>
      </c>
      <c r="T116" s="137">
        <v>46356.0</v>
      </c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0.0</v>
      </c>
      <c r="G118" s="136">
        <v>0.0</v>
      </c>
      <c r="H118" s="136">
        <v>0.0</v>
      </c>
      <c r="I118" s="136">
        <v>334.0</v>
      </c>
      <c r="J118" s="136">
        <v>0.0</v>
      </c>
      <c r="K118" s="136">
        <v>0.0</v>
      </c>
      <c r="L118" s="136">
        <v>1016.0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74.5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1100.0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1739.5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1400.0</v>
      </c>
      <c r="F125" s="136">
        <v>0.0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50.0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37.5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47</v>
      </c>
      <c r="D128" s="135">
        <v>1400.0</v>
      </c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7"/>
      <c r="T128" s="137"/>
    </row>
    <row r="129" ht="18.0" customHeight="1">
      <c r="A129" s="138" t="s">
        <v>156</v>
      </c>
      <c r="B129" s="138"/>
      <c r="C129" s="138" t="s">
        <v>279</v>
      </c>
      <c r="D129" s="139">
        <v>71400.0</v>
      </c>
      <c r="E129" s="140">
        <v>44297.0</v>
      </c>
      <c r="F129" s="140">
        <v>15992.26</v>
      </c>
      <c r="G129" s="140">
        <v>0.0</v>
      </c>
      <c r="H129" s="140">
        <v>0.0</v>
      </c>
      <c r="I129" s="140">
        <v>37362.0</v>
      </c>
      <c r="J129" s="140">
        <v>0.0</v>
      </c>
      <c r="K129" s="140">
        <v>0.0</v>
      </c>
      <c r="L129" s="140">
        <v>6870.0</v>
      </c>
      <c r="M129" s="140">
        <v>0.0</v>
      </c>
      <c r="N129" s="140">
        <v>0.0</v>
      </c>
      <c r="O129" s="140">
        <v>50.0</v>
      </c>
      <c r="P129" s="140">
        <v>0.0</v>
      </c>
      <c r="Q129" s="140">
        <v>0.0</v>
      </c>
      <c r="R129" s="140">
        <v>15.0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122.0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900.0</v>
      </c>
      <c r="G132" s="136">
        <v>900.0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432.0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0.0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-143.0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0.0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39</v>
      </c>
      <c r="D138" s="135">
        <v>800.0</v>
      </c>
      <c r="E138" s="136">
        <v>740.0</v>
      </c>
      <c r="F138" s="136">
        <v>727.0</v>
      </c>
      <c r="G138" s="136">
        <v>0.0</v>
      </c>
      <c r="H138" s="136">
        <v>0.0</v>
      </c>
      <c r="I138" s="136">
        <v>18.0</v>
      </c>
      <c r="J138" s="136">
        <v>0.0</v>
      </c>
      <c r="K138" s="136">
        <v>0.0</v>
      </c>
      <c r="L138" s="136">
        <v>0.0</v>
      </c>
      <c r="M138" s="136">
        <v>0.0</v>
      </c>
      <c r="N138" s="136">
        <v>707.0</v>
      </c>
      <c r="O138" s="136">
        <v>0.0</v>
      </c>
      <c r="P138" s="136">
        <v>0.0</v>
      </c>
      <c r="Q138" s="136">
        <v>0.0</v>
      </c>
      <c r="R138" s="136">
        <v>15.0</v>
      </c>
      <c r="S138" s="137">
        <v>46031.0</v>
      </c>
      <c r="T138" s="137">
        <v>46395.0</v>
      </c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1050.0</v>
      </c>
      <c r="F139" s="136">
        <v>1210.0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1000.0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>
        <v>46203.0</v>
      </c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224.45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1225.0</v>
      </c>
      <c r="F141" s="136">
        <v>1332.5</v>
      </c>
      <c r="G141" s="136">
        <v>0.0</v>
      </c>
      <c r="H141" s="136">
        <v>50.0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1280.0</v>
      </c>
      <c r="F143" s="136">
        <v>50.0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1200.0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>
        <v>46387.0</v>
      </c>
    </row>
    <row r="144" ht="18.0" customHeight="1">
      <c r="A144" s="134" t="s">
        <v>173</v>
      </c>
      <c r="B144" s="134" t="s">
        <v>168</v>
      </c>
      <c r="C144" s="134" t="s">
        <v>39</v>
      </c>
      <c r="D144" s="135">
        <v>1000.0</v>
      </c>
      <c r="E144" s="136">
        <v>1125.0</v>
      </c>
      <c r="F144" s="136">
        <v>0.0</v>
      </c>
      <c r="G144" s="136">
        <v>0.0</v>
      </c>
      <c r="H144" s="136">
        <v>0.0</v>
      </c>
      <c r="I144" s="136">
        <v>1125.0</v>
      </c>
      <c r="J144" s="136">
        <v>0.0</v>
      </c>
      <c r="K144" s="136">
        <v>0.0</v>
      </c>
      <c r="L144" s="136">
        <v>0.0</v>
      </c>
      <c r="M144" s="136">
        <v>0.0</v>
      </c>
      <c r="N144" s="136">
        <v>0.0</v>
      </c>
      <c r="O144" s="136">
        <v>0.0</v>
      </c>
      <c r="P144" s="136">
        <v>0.0</v>
      </c>
      <c r="Q144" s="136">
        <v>0.0</v>
      </c>
      <c r="R144" s="136">
        <v>0.0</v>
      </c>
      <c r="S144" s="137">
        <v>45996.0</v>
      </c>
      <c r="T144" s="137">
        <v>46356.0</v>
      </c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421.0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46568.0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443.0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0.0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0.0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995.0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>
        <v>46356.0</v>
      </c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1000.0</v>
      </c>
      <c r="F153" s="136">
        <v>-211.0</v>
      </c>
      <c r="G153" s="136">
        <v>0.0</v>
      </c>
      <c r="H153" s="136">
        <v>0.0</v>
      </c>
      <c r="I153" s="136">
        <v>255.0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>
        <v>46387.0</v>
      </c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1733.93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283.0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>
        <v>46418.0</v>
      </c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-35.0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>
        <v>46326.0</v>
      </c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0.0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39</v>
      </c>
      <c r="D159" s="135">
        <v>850.0</v>
      </c>
      <c r="E159" s="136">
        <v>980.0</v>
      </c>
      <c r="F159" s="136">
        <v>0.0</v>
      </c>
      <c r="G159" s="136">
        <v>0.0</v>
      </c>
      <c r="H159" s="136">
        <v>0.0</v>
      </c>
      <c r="I159" s="136">
        <v>965.0</v>
      </c>
      <c r="J159" s="136">
        <v>0.0</v>
      </c>
      <c r="K159" s="136">
        <v>0.0</v>
      </c>
      <c r="L159" s="136">
        <v>0.0</v>
      </c>
      <c r="M159" s="136">
        <v>0.0</v>
      </c>
      <c r="N159" s="136">
        <v>0.0</v>
      </c>
      <c r="O159" s="136">
        <v>0.0</v>
      </c>
      <c r="P159" s="136">
        <v>0.0</v>
      </c>
      <c r="Q159" s="136">
        <v>0.0</v>
      </c>
      <c r="R159" s="136">
        <v>15.0</v>
      </c>
      <c r="S159" s="137">
        <v>46023.0</v>
      </c>
      <c r="T159" s="137">
        <v>46387.0</v>
      </c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0.0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>
        <v>46326.0</v>
      </c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1005.5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>
        <v>46387.0</v>
      </c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424.85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11.8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0.0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0.0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47</v>
      </c>
      <c r="D166" s="135">
        <v>850.0</v>
      </c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7"/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46387.0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813.0</v>
      </c>
      <c r="F168" s="136">
        <v>410.0</v>
      </c>
      <c r="G168" s="136">
        <v>0.0</v>
      </c>
      <c r="H168" s="136">
        <v>0.0</v>
      </c>
      <c r="I168" s="136">
        <v>334.0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479.0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46387.0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925.0</v>
      </c>
      <c r="F169" s="136">
        <v>0.0</v>
      </c>
      <c r="G169" s="136">
        <v>0.0</v>
      </c>
      <c r="H169" s="136">
        <v>0.0</v>
      </c>
      <c r="I169" s="136">
        <v>925.0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>
        <v>46387.0</v>
      </c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342</v>
      </c>
      <c r="D171" s="139">
        <v>34800.0</v>
      </c>
      <c r="E171" s="140">
        <v>33959.5</v>
      </c>
      <c r="F171" s="140">
        <v>10337.03</v>
      </c>
      <c r="G171" s="140">
        <v>900.0</v>
      </c>
      <c r="H171" s="140">
        <v>180.0</v>
      </c>
      <c r="I171" s="140">
        <v>16346.0</v>
      </c>
      <c r="J171" s="140">
        <v>0.0</v>
      </c>
      <c r="K171" s="140">
        <v>4541.0</v>
      </c>
      <c r="L171" s="140">
        <v>0.0</v>
      </c>
      <c r="M171" s="140">
        <v>1958.0</v>
      </c>
      <c r="N171" s="140">
        <v>9869.0</v>
      </c>
      <c r="O171" s="140">
        <v>125.0</v>
      </c>
      <c r="P171" s="140">
        <v>0.0</v>
      </c>
      <c r="Q171" s="140">
        <v>0.0</v>
      </c>
      <c r="R171" s="140">
        <v>40.5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840.0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0.0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0.0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690.0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884.75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1182.0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46112.0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850.0</v>
      </c>
      <c r="F190" s="136">
        <v>-103.48</v>
      </c>
      <c r="G190" s="136">
        <v>0.0</v>
      </c>
      <c r="H190" s="136">
        <v>0.0</v>
      </c>
      <c r="I190" s="136">
        <v>238.0</v>
      </c>
      <c r="J190" s="136">
        <v>0.0</v>
      </c>
      <c r="K190" s="136">
        <v>0.0</v>
      </c>
      <c r="L190" s="136">
        <v>612.0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39</v>
      </c>
      <c r="D192" s="135">
        <v>825.0</v>
      </c>
      <c r="E192" s="136">
        <v>925.0</v>
      </c>
      <c r="F192" s="136">
        <v>0.0</v>
      </c>
      <c r="G192" s="136">
        <v>0.0</v>
      </c>
      <c r="H192" s="136">
        <v>0.0</v>
      </c>
      <c r="I192" s="136">
        <v>925.0</v>
      </c>
      <c r="J192" s="136">
        <v>0.0</v>
      </c>
      <c r="K192" s="136">
        <v>0.0</v>
      </c>
      <c r="L192" s="136">
        <v>0.0</v>
      </c>
      <c r="M192" s="136">
        <v>0.0</v>
      </c>
      <c r="N192" s="136">
        <v>0.0</v>
      </c>
      <c r="O192" s="136">
        <v>0.0</v>
      </c>
      <c r="P192" s="136">
        <v>0.0</v>
      </c>
      <c r="Q192" s="136">
        <v>0.0</v>
      </c>
      <c r="R192" s="136">
        <v>0.0</v>
      </c>
      <c r="S192" s="137">
        <v>46022.0</v>
      </c>
      <c r="T192" s="137">
        <v>46356.0</v>
      </c>
    </row>
    <row r="193" ht="18.0" customHeight="1">
      <c r="A193" s="134" t="s">
        <v>224</v>
      </c>
      <c r="B193" s="134" t="s">
        <v>56</v>
      </c>
      <c r="C193" s="134" t="s">
        <v>39</v>
      </c>
      <c r="D193" s="135">
        <v>750.0</v>
      </c>
      <c r="E193" s="136">
        <v>840.0</v>
      </c>
      <c r="F193" s="136">
        <v>683.0</v>
      </c>
      <c r="G193" s="136">
        <v>0.0</v>
      </c>
      <c r="H193" s="136">
        <v>0.0</v>
      </c>
      <c r="I193" s="136">
        <v>800.0</v>
      </c>
      <c r="J193" s="136">
        <v>0.0</v>
      </c>
      <c r="K193" s="136">
        <v>0.0</v>
      </c>
      <c r="L193" s="136">
        <v>0.0</v>
      </c>
      <c r="M193" s="136">
        <v>0.0</v>
      </c>
      <c r="N193" s="136">
        <v>0.0</v>
      </c>
      <c r="O193" s="136">
        <v>25.0</v>
      </c>
      <c r="P193" s="136">
        <v>0.0</v>
      </c>
      <c r="Q193" s="136">
        <v>0.0</v>
      </c>
      <c r="R193" s="136">
        <v>15.0</v>
      </c>
      <c r="S193" s="137">
        <v>45987.0</v>
      </c>
      <c r="T193" s="137">
        <v>46326.0</v>
      </c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800.0</v>
      </c>
      <c r="F194" s="136">
        <v>0.0</v>
      </c>
      <c r="G194" s="136">
        <v>0.0</v>
      </c>
      <c r="H194" s="136">
        <v>0.0</v>
      </c>
      <c r="I194" s="136">
        <v>800.0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>
        <v>46568.0</v>
      </c>
    </row>
    <row r="195" ht="18.0" customHeight="1">
      <c r="A195" s="138" t="s">
        <v>226</v>
      </c>
      <c r="B195" s="138"/>
      <c r="C195" s="138" t="s">
        <v>44</v>
      </c>
      <c r="D195" s="139">
        <v>17550.0</v>
      </c>
      <c r="E195" s="140">
        <v>18050.0</v>
      </c>
      <c r="F195" s="140">
        <v>4176.27</v>
      </c>
      <c r="G195" s="140">
        <v>0.0</v>
      </c>
      <c r="H195" s="140">
        <v>0.0</v>
      </c>
      <c r="I195" s="140">
        <v>17398.0</v>
      </c>
      <c r="J195" s="140">
        <v>0.0</v>
      </c>
      <c r="K195" s="140">
        <v>0.0</v>
      </c>
      <c r="L195" s="140">
        <v>612.0</v>
      </c>
      <c r="M195" s="140">
        <v>0.0</v>
      </c>
      <c r="N195" s="140">
        <v>0.0</v>
      </c>
      <c r="O195" s="140">
        <v>25.0</v>
      </c>
      <c r="P195" s="140">
        <v>0.0</v>
      </c>
      <c r="Q195" s="140">
        <v>0.0</v>
      </c>
      <c r="R195" s="140">
        <v>15.0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0.0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0.0</v>
      </c>
      <c r="G199" s="136">
        <v>0.0</v>
      </c>
      <c r="H199" s="136">
        <v>225.0</v>
      </c>
      <c r="I199" s="136">
        <v>122.0</v>
      </c>
      <c r="J199" s="136">
        <v>0.0</v>
      </c>
      <c r="K199" s="136">
        <v>0.0</v>
      </c>
      <c r="L199" s="136">
        <v>903.0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1175.0</v>
      </c>
      <c r="F200" s="136">
        <v>356.7</v>
      </c>
      <c r="G200" s="136">
        <v>0.0</v>
      </c>
      <c r="H200" s="136">
        <v>225.0</v>
      </c>
      <c r="I200" s="136">
        <v>950.0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-690.0</v>
      </c>
      <c r="G202" s="136">
        <v>0.0</v>
      </c>
      <c r="H202" s="136">
        <v>225.0</v>
      </c>
      <c r="I202" s="136">
        <v>144.0</v>
      </c>
      <c r="J202" s="136">
        <v>0.0</v>
      </c>
      <c r="K202" s="136">
        <v>0.0</v>
      </c>
      <c r="L202" s="136">
        <v>881.0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1694.51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1220.0</v>
      </c>
      <c r="F207" s="136">
        <v>-0.26</v>
      </c>
      <c r="G207" s="136">
        <v>0.0</v>
      </c>
      <c r="H207" s="136">
        <v>225.0</v>
      </c>
      <c r="I207" s="136">
        <v>199.0</v>
      </c>
      <c r="J207" s="136">
        <v>0.0</v>
      </c>
      <c r="K207" s="136">
        <v>0.0</v>
      </c>
      <c r="L207" s="136">
        <v>796.0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-91.25</v>
      </c>
      <c r="G208" s="136">
        <v>0.0</v>
      </c>
      <c r="H208" s="136">
        <v>225.0</v>
      </c>
      <c r="I208" s="136">
        <v>222.0</v>
      </c>
      <c r="J208" s="136">
        <v>0.0</v>
      </c>
      <c r="K208" s="136">
        <v>0.0</v>
      </c>
      <c r="L208" s="136">
        <v>803.0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1250.0</v>
      </c>
      <c r="F211" s="136">
        <v>-3.0</v>
      </c>
      <c r="G211" s="136">
        <v>0.0</v>
      </c>
      <c r="H211" s="136">
        <v>225.0</v>
      </c>
      <c r="I211" s="136">
        <v>508.0</v>
      </c>
      <c r="J211" s="136">
        <v>0.0</v>
      </c>
      <c r="K211" s="136">
        <v>0.0</v>
      </c>
      <c r="L211" s="136">
        <v>517.0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564.02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0.0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46568.0</v>
      </c>
    </row>
    <row r="217" ht="18.0" customHeight="1">
      <c r="A217" s="134" t="s">
        <v>84</v>
      </c>
      <c r="B217" s="134" t="s">
        <v>38</v>
      </c>
      <c r="C217" s="134" t="s">
        <v>47</v>
      </c>
      <c r="D217" s="135">
        <v>825.0</v>
      </c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7"/>
      <c r="T217" s="137"/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0.0</v>
      </c>
      <c r="G222" s="136">
        <v>0.0</v>
      </c>
      <c r="H222" s="136">
        <v>225.0</v>
      </c>
      <c r="I222" s="136">
        <v>408.0</v>
      </c>
      <c r="J222" s="136">
        <v>0.0</v>
      </c>
      <c r="K222" s="136">
        <v>0.0</v>
      </c>
      <c r="L222" s="136">
        <v>667.0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46265.0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1225.0</v>
      </c>
      <c r="F225" s="136">
        <v>400.0</v>
      </c>
      <c r="G225" s="136">
        <v>0.0</v>
      </c>
      <c r="H225" s="136">
        <v>225.0</v>
      </c>
      <c r="I225" s="136">
        <v>1000.0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>
        <v>46387.0</v>
      </c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1175.0</v>
      </c>
      <c r="F226" s="136">
        <v>0.0</v>
      </c>
      <c r="G226" s="136">
        <v>0.0</v>
      </c>
      <c r="H226" s="136">
        <v>225.0</v>
      </c>
      <c r="I226" s="136">
        <v>950.0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46387.0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48.75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-20.0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46446.0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1039.25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345.4</v>
      </c>
      <c r="G233" s="136">
        <v>0.0</v>
      </c>
      <c r="H233" s="136">
        <v>225.0</v>
      </c>
      <c r="I233" s="136">
        <v>448.0</v>
      </c>
      <c r="J233" s="136">
        <v>0.0</v>
      </c>
      <c r="K233" s="136">
        <v>0.0</v>
      </c>
      <c r="L233" s="136">
        <v>577.0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343.7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47</v>
      </c>
      <c r="D236" s="135">
        <v>825.0</v>
      </c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7"/>
      <c r="T236" s="137"/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-260.0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39</v>
      </c>
      <c r="D238" s="135">
        <v>825.0</v>
      </c>
      <c r="E238" s="136">
        <v>1250.0</v>
      </c>
      <c r="F238" s="136">
        <v>2286.9</v>
      </c>
      <c r="G238" s="136">
        <v>0.0</v>
      </c>
      <c r="H238" s="136">
        <v>225.0</v>
      </c>
      <c r="I238" s="136">
        <v>1025.0</v>
      </c>
      <c r="J238" s="136">
        <v>0.0</v>
      </c>
      <c r="K238" s="136">
        <v>0.0</v>
      </c>
      <c r="L238" s="136">
        <v>0.0</v>
      </c>
      <c r="M238" s="136">
        <v>0.0</v>
      </c>
      <c r="N238" s="136">
        <v>0.0</v>
      </c>
      <c r="O238" s="136">
        <v>0.0</v>
      </c>
      <c r="P238" s="136">
        <v>0.0</v>
      </c>
      <c r="Q238" s="136">
        <v>0.0</v>
      </c>
      <c r="R238" s="136">
        <v>0.0</v>
      </c>
      <c r="S238" s="137">
        <v>45139.0</v>
      </c>
      <c r="T238" s="137">
        <v>45987.0</v>
      </c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-2364.0</v>
      </c>
      <c r="G239" s="136">
        <v>0.0</v>
      </c>
      <c r="H239" s="136">
        <v>125.0</v>
      </c>
      <c r="I239" s="136">
        <v>186.0</v>
      </c>
      <c r="J239" s="136">
        <v>0.0</v>
      </c>
      <c r="K239" s="136">
        <v>0.0</v>
      </c>
      <c r="L239" s="136">
        <v>687.0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1250.0</v>
      </c>
      <c r="F240" s="136">
        <v>-615.8</v>
      </c>
      <c r="G240" s="136">
        <v>0.0</v>
      </c>
      <c r="H240" s="136">
        <v>225.0</v>
      </c>
      <c r="I240" s="136">
        <v>99.0</v>
      </c>
      <c r="J240" s="136">
        <v>0.0</v>
      </c>
      <c r="K240" s="136">
        <v>0.0</v>
      </c>
      <c r="L240" s="136">
        <v>926.0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>
        <v>46302.0</v>
      </c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25.0</v>
      </c>
      <c r="G241" s="136">
        <v>0.0</v>
      </c>
      <c r="H241" s="136">
        <v>225.0</v>
      </c>
      <c r="I241" s="136">
        <v>275.0</v>
      </c>
      <c r="J241" s="136">
        <v>0.0</v>
      </c>
      <c r="K241" s="136">
        <v>0.0</v>
      </c>
      <c r="L241" s="136">
        <v>750.0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-1.1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>
        <v>46387.0</v>
      </c>
    </row>
    <row r="247" ht="18.0" customHeight="1">
      <c r="A247" s="138" t="s">
        <v>244</v>
      </c>
      <c r="B247" s="138"/>
      <c r="C247" s="138" t="s">
        <v>336</v>
      </c>
      <c r="D247" s="139">
        <v>40350.0</v>
      </c>
      <c r="E247" s="140">
        <v>51009.3</v>
      </c>
      <c r="F247" s="140">
        <v>2903.82</v>
      </c>
      <c r="G247" s="140">
        <v>0.0</v>
      </c>
      <c r="H247" s="140">
        <v>8645.8</v>
      </c>
      <c r="I247" s="140">
        <v>33106.5</v>
      </c>
      <c r="J247" s="140">
        <v>0.0</v>
      </c>
      <c r="K247" s="140">
        <v>0.0</v>
      </c>
      <c r="L247" s="140">
        <v>9167.0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700.0</v>
      </c>
      <c r="F249" s="136">
        <v>531.67</v>
      </c>
      <c r="G249" s="136">
        <v>0.0</v>
      </c>
      <c r="H249" s="136">
        <v>0.0</v>
      </c>
      <c r="I249" s="136">
        <v>215.0</v>
      </c>
      <c r="J249" s="136">
        <v>485.0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0.0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46081.0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0.0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472.1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46477.0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80.44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0.0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0.0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0.0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46477.0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-57.07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0.0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0.0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828.94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418.54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178</v>
      </c>
      <c r="D262" s="135">
        <v>675.0</v>
      </c>
      <c r="E262" s="136">
        <v>775.0</v>
      </c>
      <c r="F262" s="136">
        <v>2231.14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700.0</v>
      </c>
      <c r="F263" s="136">
        <v>480.08</v>
      </c>
      <c r="G263" s="136">
        <v>0.0</v>
      </c>
      <c r="H263" s="136">
        <v>0.0</v>
      </c>
      <c r="I263" s="136">
        <v>700.0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>
        <v>46356.0</v>
      </c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0.0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46447.0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-36.83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300.94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46142.0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0.0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46403.0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0.0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46418.0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675.0</v>
      </c>
      <c r="F269" s="136">
        <v>-71.01</v>
      </c>
      <c r="G269" s="136">
        <v>0.0</v>
      </c>
      <c r="H269" s="136">
        <v>0.0</v>
      </c>
      <c r="I269" s="136">
        <v>675.0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0.0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750.0</v>
      </c>
      <c r="G271" s="136">
        <v>0.0</v>
      </c>
      <c r="H271" s="136">
        <v>0.0</v>
      </c>
      <c r="I271" s="136">
        <v>750.0</v>
      </c>
      <c r="J271" s="136">
        <v>0.0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46394.0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0.0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46326.0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-582.0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311.47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0.0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765.0</v>
      </c>
      <c r="F276" s="136">
        <v>15.0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15.0</v>
      </c>
      <c r="S276" s="137">
        <v>44742.0</v>
      </c>
      <c r="T276" s="137">
        <v>46356.0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-1.0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1611.35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46294.0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22215.0</v>
      </c>
      <c r="F279" s="140">
        <v>7283.76</v>
      </c>
      <c r="G279" s="140">
        <v>0.0</v>
      </c>
      <c r="H279" s="140">
        <v>0.0</v>
      </c>
      <c r="I279" s="140">
        <v>19613.0</v>
      </c>
      <c r="J279" s="140">
        <v>2537.0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15.0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202</v>
      </c>
      <c r="D281" s="139">
        <v>229909.0</v>
      </c>
      <c r="E281" s="140">
        <v>211990.8</v>
      </c>
      <c r="F281" s="140">
        <v>58897.74</v>
      </c>
      <c r="G281" s="140">
        <v>900.0</v>
      </c>
      <c r="H281" s="140">
        <v>8825.8</v>
      </c>
      <c r="I281" s="140">
        <v>163250.5</v>
      </c>
      <c r="J281" s="140">
        <v>3465.0</v>
      </c>
      <c r="K281" s="140">
        <v>4541.0</v>
      </c>
      <c r="L281" s="140">
        <v>18616.0</v>
      </c>
      <c r="M281" s="140">
        <v>1958.0</v>
      </c>
      <c r="N281" s="140">
        <v>9869.0</v>
      </c>
      <c r="O281" s="140">
        <v>425.0</v>
      </c>
      <c r="P281" s="140">
        <v>25.0</v>
      </c>
      <c r="Q281" s="140">
        <v>15.0</v>
      </c>
      <c r="R281" s="140">
        <v>100.5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0.9184081633</v>
      </c>
      <c r="D282" s="145">
        <f t="shared" ref="D282:D284" si="2">IFERROR(
  SUMPRODUCT((A$285:A$295=A282)*D$285:D$295*I$285:I$295) /
  SUMPRODUCT((A$285:A$295=A282)*I$285:I$295),
0)</f>
        <v>0.7932668158</v>
      </c>
      <c r="E282" s="146">
        <f t="shared" ref="E282:E284" si="3">IFERROR(
  SUMPRODUCT((A$285:A$295=A282)*E$285:E$295),
0)
</f>
        <v>6242.29</v>
      </c>
      <c r="F282" s="147">
        <f t="shared" ref="F282:F284" si="4">IFERROR(
  SUMPRODUCT((A$285:A$295=A282)*F$285:F$295),
0)
</f>
        <v>10633.97</v>
      </c>
      <c r="G282" s="148">
        <f t="shared" ref="G282:G284" si="5">IFERROR(
  SUMPRODUCT((A$285:A$295=A282)*G$285:G$295),
0)
</f>
        <v>3</v>
      </c>
      <c r="H282" s="149">
        <f t="shared" ref="H282:H284" si="6">IFERROR(
  SUMPRODUCT((A$285:A$295=A282)*H$285:H$295*I$285:I$295) /
  SUMPRODUCT((A$285:A$295=A282)*I$285:I$295),
0)</f>
        <v>0.862244898</v>
      </c>
    </row>
    <row r="283" ht="18.0" customHeight="1">
      <c r="A283" s="196" t="s">
        <v>251</v>
      </c>
      <c r="B283" s="153"/>
      <c r="C283" s="154">
        <f t="shared" si="1"/>
        <v>0.8474519774</v>
      </c>
      <c r="D283" s="155">
        <f t="shared" si="2"/>
        <v>0.7497738436</v>
      </c>
      <c r="E283" s="156">
        <f t="shared" si="3"/>
        <v>30382.44</v>
      </c>
      <c r="F283" s="157">
        <f t="shared" si="4"/>
        <v>44087.5</v>
      </c>
      <c r="G283" s="158">
        <f t="shared" si="5"/>
        <v>2</v>
      </c>
      <c r="H283" s="149">
        <f t="shared" si="6"/>
        <v>0.7848054811</v>
      </c>
    </row>
    <row r="284" ht="18.0" customHeight="1">
      <c r="A284" s="160" t="s">
        <v>252</v>
      </c>
      <c r="B284" s="161"/>
      <c r="C284" s="162">
        <f t="shared" si="1"/>
        <v>1</v>
      </c>
      <c r="D284" s="163">
        <f t="shared" si="2"/>
        <v>0.7779293548</v>
      </c>
      <c r="E284" s="164">
        <f t="shared" si="3"/>
        <v>3619.52</v>
      </c>
      <c r="F284" s="165">
        <f t="shared" si="4"/>
        <v>4176.27</v>
      </c>
      <c r="G284" s="166">
        <f t="shared" si="5"/>
        <v>0</v>
      </c>
      <c r="H284" s="149">
        <f t="shared" si="6"/>
        <v>0.6818181818</v>
      </c>
    </row>
    <row r="285" ht="18.0" customHeight="1">
      <c r="A285" s="187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"),0.75)</f>
        <v>0.75</v>
      </c>
      <c r="D285" s="172">
        <f t="array" ref="D285">SUM(MAP(E12:E15, F12:F15, LAMBDA(e,f, MAX(0, e-f)))) / SUM(E12:E15)
</f>
        <v>0.8607329843</v>
      </c>
      <c r="E285" s="173">
        <f t="array" ref="E285">SUM(MAP(E$11:E$14, F$11:F$14, LAMBDA(e,f, MIN(e, f))))
</f>
        <v>332.5</v>
      </c>
      <c r="F285" s="174">
        <f>F15</f>
        <v>332.5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"),1.0)</f>
        <v>1</v>
      </c>
      <c r="I285" s="175">
        <v>4.0</v>
      </c>
      <c r="J285" s="177">
        <v>46340.0</v>
      </c>
    </row>
    <row r="286" ht="18.0" customHeight="1">
      <c r="A286" s="187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SUM(MAP(E18:E23, F18:F23, LAMBDA(e,f, MAX(0, e-f)))) / SUM(E18:E23)
</f>
        <v>1</v>
      </c>
      <c r="E286" s="173">
        <f t="array" ref="E286">SUM(MAP(E$17:E$22, F$17:F$22, LAMBDA(e,f, MIN(e, f))))
</f>
        <v>0</v>
      </c>
      <c r="F286" s="174">
        <f>F23</f>
        <v>0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"),0.75)</f>
        <v>0.75</v>
      </c>
      <c r="I286" s="175">
        <v>6.0</v>
      </c>
      <c r="J286" s="179" t="s">
        <v>255</v>
      </c>
    </row>
    <row r="287" ht="18.0" customHeight="1">
      <c r="A287" s="187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"),0.8)</f>
        <v>0.8</v>
      </c>
      <c r="D287" s="172">
        <f t="array" ref="D287">SUM(MAP(E25:E29, F25:F29, LAMBDA(e, f, MAX(0, e - f)))) / SUM(E25:E29)</f>
        <v>0.7521367521</v>
      </c>
      <c r="E287" s="173">
        <f t="array" ref="E287">SUM(MAP(E$25:E$29, F$25:F$29, LAMBDA(e,f, MIN(e, f))))
</f>
        <v>725</v>
      </c>
      <c r="F287" s="174">
        <f>F30</f>
        <v>2820.25</v>
      </c>
      <c r="G287" s="175">
        <f>IFERROR(__xludf.DUMMYFUNCTION("SUMPRODUCT(--(C25:C29&lt;&gt;""Vacant-Unrented""),--(C25:C29&lt;&gt;""Vacant-Rented""),--((N(W25:W29)&gt;N(X25:X29))+N(REGEXMATCH(LOWER(C25:C29),""evict""))&gt;0))"),1.0)</f>
        <v>1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"),0.75)</f>
        <v>0.75</v>
      </c>
      <c r="I287" s="175">
        <v>5.0</v>
      </c>
      <c r="J287" s="179" t="s">
        <v>257</v>
      </c>
    </row>
    <row r="288" ht="18.0" customHeight="1">
      <c r="A288" s="187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SUM(MAP(E33:E34, F33:F34, LAMBDA(e,f, MAX(0, e-f)))) / SUM(E33:E34)
</f>
        <v>0.8600139535</v>
      </c>
      <c r="E288" s="173">
        <f t="array" ref="E288">SUM(MAP(E$32:E$33, F$32:F$33, LAMBDA(e,f, MIN(e, f))))
</f>
        <v>197.46</v>
      </c>
      <c r="F288" s="174">
        <f>F34</f>
        <v>197.46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  <c r="J288" s="179" t="s">
        <v>259</v>
      </c>
    </row>
    <row r="289" ht="18.0" customHeight="1">
      <c r="A289" s="187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SUM(MAP(E37:E38, F37:F38, LAMBDA(e,f, MAX(0, e-f)))) / SUM(E37:E38)
</f>
        <v>1</v>
      </c>
      <c r="E289" s="173">
        <f t="array" ref="E289">SUM(MAP(E$36:E$37, F$36:F$37, LAMBDA(e,f, MIN(e, f))))
</f>
        <v>0</v>
      </c>
      <c r="F289" s="174">
        <f>F38</f>
        <v>0</v>
      </c>
      <c r="G289" s="175">
        <f>IFERROR(__xludf.DUMMYFUNCTION("SUMPRODUCT(--(C40:C75&lt;&gt;""Vacant-Unrented""),--(C40:C75&lt;&gt;""Vacant-Rented""),--((N(W40:W75)&gt;N(X40:X75))+N(REGEXMATCH(LOWER(C40:C75),""evict""))&gt;0))"),1.0)</f>
        <v>1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  <c r="J289" s="179" t="s">
        <v>261</v>
      </c>
    </row>
    <row r="290" ht="18.0" customHeight="1">
      <c r="A290" s="179" t="s">
        <v>251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SUM(MAP(E41:E76, F41:F76, LAMBDA(e,f, MAX(0, e-f)))) / SUM(E41:E76)
</f>
        <v>0.5752104159</v>
      </c>
      <c r="E290" s="173">
        <f t="array" ref="E290">SUM(MAP(E$40:E$75, F$40:F$75, LAMBDA(e,f, MIN(e, f))))
</f>
        <v>9452.07</v>
      </c>
      <c r="F290" s="174">
        <f>F76</f>
        <v>14854.39</v>
      </c>
      <c r="G290" s="175">
        <f>IFERROR(__xludf.DUMMYFUNCTION("SUMPRODUCT(--(C40:C75&lt;&gt;""Vacant-Unrented""),--(C40:C75&lt;&gt;""Vacant-Rented""),--((N(W40:W75)&gt;N(X40:X75))+N(REGEXMATCH(LOWER(C40:C75),""evict""))&gt;0))"),1.0)</f>
        <v>1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"),0.78125)</f>
        <v>0.78125</v>
      </c>
      <c r="I290" s="175">
        <v>36.0</v>
      </c>
      <c r="J290" s="179" t="s">
        <v>263</v>
      </c>
    </row>
    <row r="291" ht="18.0" customHeight="1">
      <c r="A291" s="187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"),0.745)</f>
        <v>0.745</v>
      </c>
      <c r="D291" s="172">
        <f t="array" ref="D291">SUM(MAP(E79:E129, F79:F129, LAMBDA(e,f, MAX(0, e-f)))) / SUM(E79:E129)
</f>
        <v>0.6984557666</v>
      </c>
      <c r="E291" s="173">
        <f t="array" ref="E291">SUM(MAP(E$78:E$128, F$78:F$128, LAMBDA(e,f, MIN(e, f))))
</f>
        <v>10451.36</v>
      </c>
      <c r="F291" s="174">
        <f>F129</f>
        <v>15992.26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"),1.0)</f>
        <v>1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"),0.8947368421052632)</f>
        <v>0.8947368421</v>
      </c>
      <c r="I291" s="175">
        <v>51.0</v>
      </c>
      <c r="J291" s="179" t="s">
        <v>265</v>
      </c>
    </row>
    <row r="292" ht="18.0" customHeight="1">
      <c r="A292" s="179" t="s">
        <v>251</v>
      </c>
      <c r="B292" s="170" t="s">
        <v>266</v>
      </c>
      <c r="C292" s="171">
        <f>IFERROR(__xludf.DUMMYFUNCTION("IF(ISNUMBER(SEARCH(""%"",C171)), VALUE(REGEXREPLACE(C171,""[^0-9.]"",""""))/100, VALUE(REGEXREPLACE(C171,""[^0-9.]"","""")))
"),0.925)</f>
        <v>0.925</v>
      </c>
      <c r="D292" s="172">
        <f t="array" ref="D292">SUM(MAP(E132:E171, F132:F171, LAMBDA(e,f, MAX(0, e-f)))) / SUM(E132:E171)
</f>
        <v>0.713194184</v>
      </c>
      <c r="E292" s="173">
        <f t="array" ref="E292">SUM(MAP(E$131:E$170, F$131:F$170, LAMBDA(e,f, MIN(e, f))))
</f>
        <v>9056.6</v>
      </c>
      <c r="F292" s="174">
        <f>F171</f>
        <v>10337.03</v>
      </c>
      <c r="G292" s="175">
        <f>IFERROR(__xludf.DUMMYFUNCTION("SUMPRODUCT(--(C131:C170&lt;&gt;""Vacant-Unrented""),--(C131:C170&lt;&gt;""Vacant-Rented""),--((N(W131:W170)&gt;N(X131:X170))+N(REGEXMATCH(LOWER(C131:C170),""evict""))&gt;0))"),0.0)</f>
        <v>0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"),0.7567567567567568)</f>
        <v>0.7567567568</v>
      </c>
      <c r="I292" s="175">
        <v>40.0</v>
      </c>
      <c r="J292" s="179" t="s">
        <v>267</v>
      </c>
    </row>
    <row r="293" ht="18.0" customHeight="1">
      <c r="A293" s="197" t="s">
        <v>252</v>
      </c>
      <c r="B293" s="170" t="s">
        <v>268</v>
      </c>
      <c r="C293" s="171">
        <f>IFERROR(__xludf.DUMMYFUNCTION("IF(ISNUMBER(SEARCH(""%"",C195)), VALUE(REGEXREPLACE(C195,""[^0-9.]"",""""))/100, VALUE(REGEXREPLACE(C195,""[^0-9.]"","""")))
"),1.0)</f>
        <v>1</v>
      </c>
      <c r="D293" s="172">
        <f t="array" ref="D293">SUM(MAP(E174:E195, F174:F195, LAMBDA(e,f, MAX(0, e-f)))) / SUM(E174:E195)
</f>
        <v>0.7779293548</v>
      </c>
      <c r="E293" s="173">
        <f t="array" ref="E293">SUM(MAP(E$173:E$194, F$173:F$194, LAMBDA(e,f, MIN(e, f))))
</f>
        <v>3619.52</v>
      </c>
      <c r="F293" s="174">
        <f>F195</f>
        <v>4176.27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"),0.6818181818181818)</f>
        <v>0.6818181818</v>
      </c>
      <c r="I293" s="175">
        <v>22.0</v>
      </c>
      <c r="J293" s="179" t="s">
        <v>269</v>
      </c>
    </row>
    <row r="294" ht="18.0" customHeight="1">
      <c r="A294" s="179" t="s">
        <v>251</v>
      </c>
      <c r="B294" s="170" t="s">
        <v>270</v>
      </c>
      <c r="C294" s="171">
        <f>IFERROR(__xludf.DUMMYFUNCTION("IF(ISNUMBER(SEARCH(""%"",C247)), VALUE(REGEXREPLACE(C247,""[^0-9.]"",""""))/100, VALUE(REGEXREPLACE(C247,""[^0-9.]"","""")))
"),0.86)</f>
        <v>0.86</v>
      </c>
      <c r="D294" s="172">
        <f t="array" ref="D294">SUM(MAP(E198:E247, F198:F247, LAMBDA(e,f, MAX(0, e-f)))) / SUM(E198:E247)
</f>
        <v>0.9570676778</v>
      </c>
      <c r="E294" s="173">
        <f t="array" ref="E294">SUM(MAP(E$197:E$246, F$197:F$246, LAMBDA(e,f, MIN(e, f))))
</f>
        <v>1422.41</v>
      </c>
      <c r="F294" s="174">
        <f>F247</f>
        <v>2903.82</v>
      </c>
      <c r="G294" s="175">
        <f>IFERROR(__xludf.DUMMYFUNCTION("SUMPRODUCT(--(C197:C246&lt;&gt;""Vacant-Unrented""),--(C197:C246&lt;&gt;""Vacant-Rented""),--((N(W197:W246)&gt;N(X197:X246))+N(REGEXMATCH(LOWER(C197:C246),""evict""))&gt;0))"),0.0)</f>
        <v>0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"),0.6976744186046512)</f>
        <v>0.6976744186</v>
      </c>
      <c r="I294" s="175">
        <v>50.0</v>
      </c>
      <c r="J294" s="179" t="s">
        <v>271</v>
      </c>
    </row>
    <row r="295" ht="18.0" customHeight="1">
      <c r="A295" s="179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0.7315476789</v>
      </c>
      <c r="E295" s="183">
        <f t="array" ref="E295">SUM(MAP(E$249:E$278, F$249:F$278, LAMBDA(e,f, MIN(e, f))))
</f>
        <v>4987.33</v>
      </c>
      <c r="F295" s="184">
        <f>F279</f>
        <v>7283.76</v>
      </c>
      <c r="G295" s="185">
        <f>IFERROR(__xludf.DUMMYFUNCTION("SUMPRODUCT(--(C249:C278&lt;&gt;""Vacant-Unrented""),--(C249:C278&lt;&gt;""Vacant-Rented""),--((N(W249:W278)&gt;N(X249:X278))+N(REGEXMATCH(LOWER(C249:C278),""evict""))&gt;0))"),1.0)</f>
        <v>1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"),0.8666666666666667)</f>
        <v>0.8666666667</v>
      </c>
      <c r="I295" s="175">
        <v>30.0</v>
      </c>
      <c r="J295" s="179" t="s">
        <v>273</v>
      </c>
    </row>
    <row r="296" ht="18.0" customHeight="1">
      <c r="A296" s="187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0)"),0.8758022813688213)</f>
        <v>0.8758022814</v>
      </c>
      <c r="D296" s="189">
        <f>IFERROR(__xludf.DUMMYFUNCTION("LET(
  e, VSTACK(E12:E15, E18:E23, E26:E30, E33:E34, E37:E38, E41:E76, E79:E129, E132:E171, E174:E195, E198:E247, E250:E279),
  f, VSTACK(F12:F15, F18:F23, F26:F30, F33:F34, F37:F38, F41:F76, F79:F129, F132:F171, F174:F195, F198:F247, F250:F279),
  ee, FI"&amp;"LTER(e, e&lt;&gt;0),
  ff, FILTER(f, e&lt;&gt;0),
  SUM(MAP(ee, ff, LAMBDA(x,y, MAX(0, x-y)))) / SUM(ee)
)
"),0.7631543056148643)</f>
        <v>0.7631543056</v>
      </c>
      <c r="E296" s="190">
        <f t="shared" ref="E296:G296" si="7">sum(E285:E295)</f>
        <v>40244.25</v>
      </c>
      <c r="F296" s="190">
        <f t="shared" si="7"/>
        <v>58897.74</v>
      </c>
      <c r="G296" s="191">
        <f t="shared" si="7"/>
        <v>5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"),0.7880184331797235)</f>
        <v>0.7880184332</v>
      </c>
      <c r="I296" s="193"/>
      <c r="J296" s="194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5"/>
    <col customWidth="1" min="7" max="7" width="31.25"/>
    <col customWidth="1" min="8" max="8" width="111.13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28" t="s">
        <v>10</v>
      </c>
    </row>
    <row r="2" ht="18.0" customHeight="1">
      <c r="A2" s="130" t="s">
        <v>369</v>
      </c>
    </row>
    <row r="3" ht="18.0" customHeight="1">
      <c r="A3" s="130"/>
    </row>
    <row r="4" ht="18.0" customHeight="1">
      <c r="A4" s="131" t="s">
        <v>370</v>
      </c>
    </row>
    <row r="5" ht="18.0" customHeight="1">
      <c r="A5" s="131" t="s">
        <v>371</v>
      </c>
    </row>
    <row r="6" ht="18.0" customHeight="1">
      <c r="A6" s="131" t="s">
        <v>372</v>
      </c>
    </row>
    <row r="7" ht="18.0" customHeight="1">
      <c r="A7" s="131" t="s">
        <v>373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282.5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0.0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47</v>
      </c>
      <c r="D14" s="135">
        <v>950.0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7"/>
      <c r="T14" s="137"/>
    </row>
    <row r="15" ht="18.0" customHeight="1">
      <c r="A15" s="138" t="s">
        <v>43</v>
      </c>
      <c r="B15" s="138"/>
      <c r="C15" s="138" t="s">
        <v>313</v>
      </c>
      <c r="D15" s="139">
        <v>3800.0</v>
      </c>
      <c r="E15" s="140">
        <v>2925.0</v>
      </c>
      <c r="F15" s="140">
        <v>282.5</v>
      </c>
      <c r="G15" s="140">
        <v>0.0</v>
      </c>
      <c r="H15" s="140">
        <v>0.0</v>
      </c>
      <c r="I15" s="140">
        <v>2532.0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46443.0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950.0</v>
      </c>
      <c r="F22" s="136">
        <v>0.0</v>
      </c>
      <c r="G22" s="136">
        <v>0.0</v>
      </c>
      <c r="H22" s="136">
        <v>0.0</v>
      </c>
      <c r="I22" s="136">
        <v>925.0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25.0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3675.0</v>
      </c>
      <c r="F23" s="140">
        <v>0.0</v>
      </c>
      <c r="G23" s="140">
        <v>0.0</v>
      </c>
      <c r="H23" s="140">
        <v>0.0</v>
      </c>
      <c r="I23" s="140">
        <v>3065.0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50.0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297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178</v>
      </c>
      <c r="D28" s="135">
        <v>621.0</v>
      </c>
      <c r="E28" s="136">
        <v>725.0</v>
      </c>
      <c r="F28" s="136">
        <v>2310.25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46431.0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2310.25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850.0</v>
      </c>
      <c r="F32" s="136">
        <v>74.1</v>
      </c>
      <c r="G32" s="136">
        <v>0.0</v>
      </c>
      <c r="H32" s="136">
        <v>0.0</v>
      </c>
      <c r="I32" s="136">
        <v>850.0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42.52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1500.0</v>
      </c>
      <c r="F34" s="140">
        <v>116.62</v>
      </c>
      <c r="G34" s="140">
        <v>0.0</v>
      </c>
      <c r="H34" s="140">
        <v>0.0</v>
      </c>
      <c r="I34" s="140">
        <v>1500.0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-1200.0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-1200.0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1216.25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46356.0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46400.0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46023.0</v>
      </c>
      <c r="T44" s="137">
        <v>46568.0</v>
      </c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2442.5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46568.0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46418.0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1216.25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46355.0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-850.0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1085.0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850.0</v>
      </c>
      <c r="F54" s="136">
        <v>0.0</v>
      </c>
      <c r="G54" s="136">
        <v>0.0</v>
      </c>
      <c r="H54" s="136">
        <v>0.0</v>
      </c>
      <c r="I54" s="136">
        <v>850.0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46387.0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0.0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46446.0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800.0</v>
      </c>
      <c r="F58" s="136">
        <v>0.0</v>
      </c>
      <c r="G58" s="136">
        <v>0.0</v>
      </c>
      <c r="H58" s="136">
        <v>0.0</v>
      </c>
      <c r="I58" s="136">
        <v>800.0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46387.0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1025.0</v>
      </c>
      <c r="F60" s="136">
        <v>402.88</v>
      </c>
      <c r="G60" s="136">
        <v>0.0</v>
      </c>
      <c r="H60" s="136">
        <v>0.0</v>
      </c>
      <c r="I60" s="136">
        <v>0.0</v>
      </c>
      <c r="J60" s="136">
        <v>0.0</v>
      </c>
      <c r="K60" s="136">
        <v>0.0</v>
      </c>
      <c r="L60" s="136">
        <v>1025.0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0.0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178</v>
      </c>
      <c r="D65" s="135">
        <v>700.0</v>
      </c>
      <c r="E65" s="136">
        <v>825.0</v>
      </c>
      <c r="F65" s="136">
        <v>3283.75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46442.0</v>
      </c>
    </row>
    <row r="68" ht="18.0" customHeight="1">
      <c r="A68" s="134" t="s">
        <v>91</v>
      </c>
      <c r="B68" s="134" t="s">
        <v>38</v>
      </c>
      <c r="C68" s="134" t="s">
        <v>107</v>
      </c>
      <c r="D68" s="135">
        <v>950.0</v>
      </c>
      <c r="E68" s="136">
        <v>800.0</v>
      </c>
      <c r="F68" s="136">
        <v>980.0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2318.57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800.0</v>
      </c>
      <c r="F70" s="136">
        <v>0.0</v>
      </c>
      <c r="G70" s="136">
        <v>0.0</v>
      </c>
      <c r="H70" s="136">
        <v>0.0</v>
      </c>
      <c r="I70" s="136">
        <v>800.0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1025.0</v>
      </c>
      <c r="F72" s="136">
        <v>-75.81</v>
      </c>
      <c r="G72" s="136">
        <v>0.0</v>
      </c>
      <c r="H72" s="136">
        <v>0.0</v>
      </c>
      <c r="I72" s="136">
        <v>83.0</v>
      </c>
      <c r="J72" s="136">
        <v>0.0</v>
      </c>
      <c r="K72" s="136">
        <v>0.0</v>
      </c>
      <c r="L72" s="136">
        <v>942.0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1137.5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46643.0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29035.0</v>
      </c>
      <c r="F76" s="140">
        <v>13156.89</v>
      </c>
      <c r="G76" s="140">
        <v>0.0</v>
      </c>
      <c r="H76" s="140">
        <v>0.0</v>
      </c>
      <c r="I76" s="140">
        <v>27003.0</v>
      </c>
      <c r="J76" s="140">
        <v>0.0</v>
      </c>
      <c r="K76" s="140">
        <v>0.0</v>
      </c>
      <c r="L76" s="140">
        <v>1967.0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900.0</v>
      </c>
      <c r="F78" s="136">
        <v>0.0</v>
      </c>
      <c r="G78" s="136">
        <v>0.0</v>
      </c>
      <c r="H78" s="136">
        <v>0.0</v>
      </c>
      <c r="I78" s="136">
        <v>0.0</v>
      </c>
      <c r="J78" s="136">
        <v>0.0</v>
      </c>
      <c r="K78" s="136">
        <v>0.0</v>
      </c>
      <c r="L78" s="136">
        <v>900.0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39</v>
      </c>
      <c r="D79" s="135">
        <v>1400.0</v>
      </c>
      <c r="E79" s="136">
        <v>1350.0</v>
      </c>
      <c r="F79" s="136">
        <v>0.0</v>
      </c>
      <c r="G79" s="136">
        <v>0.0</v>
      </c>
      <c r="H79" s="136">
        <v>0.0</v>
      </c>
      <c r="I79" s="136">
        <v>1350.0</v>
      </c>
      <c r="J79" s="136">
        <v>0.0</v>
      </c>
      <c r="K79" s="136">
        <v>0.0</v>
      </c>
      <c r="L79" s="136">
        <v>0.0</v>
      </c>
      <c r="M79" s="136">
        <v>0.0</v>
      </c>
      <c r="N79" s="136">
        <v>0.0</v>
      </c>
      <c r="O79" s="136">
        <v>0.0</v>
      </c>
      <c r="P79" s="136">
        <v>0.0</v>
      </c>
      <c r="Q79" s="136">
        <v>0.0</v>
      </c>
      <c r="R79" s="136">
        <v>0.0</v>
      </c>
      <c r="S79" s="137">
        <v>46004.0</v>
      </c>
      <c r="T79" s="137">
        <v>46356.0</v>
      </c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39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46173.0</v>
      </c>
    </row>
    <row r="82" ht="18.0" customHeight="1">
      <c r="A82" s="134" t="s">
        <v>108</v>
      </c>
      <c r="B82" s="134" t="s">
        <v>104</v>
      </c>
      <c r="C82" s="134" t="s">
        <v>47</v>
      </c>
      <c r="D82" s="135">
        <v>1400.0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7"/>
      <c r="T82" s="137"/>
    </row>
    <row r="83" ht="18.0" customHeight="1">
      <c r="A83" s="134" t="s">
        <v>109</v>
      </c>
      <c r="B83" s="134" t="s">
        <v>38</v>
      </c>
      <c r="C83" s="134" t="s">
        <v>39</v>
      </c>
      <c r="D83" s="135">
        <v>1400.0</v>
      </c>
      <c r="E83" s="136">
        <v>1099.0</v>
      </c>
      <c r="F83" s="136">
        <v>0.0</v>
      </c>
      <c r="G83" s="136">
        <v>0.0</v>
      </c>
      <c r="H83" s="136">
        <v>0.0</v>
      </c>
      <c r="I83" s="136">
        <v>1099.0</v>
      </c>
      <c r="J83" s="136">
        <v>0.0</v>
      </c>
      <c r="K83" s="136">
        <v>0.0</v>
      </c>
      <c r="L83" s="136">
        <v>0.0</v>
      </c>
      <c r="M83" s="136">
        <v>0.0</v>
      </c>
      <c r="N83" s="136">
        <v>0.0</v>
      </c>
      <c r="O83" s="136">
        <v>0.0</v>
      </c>
      <c r="P83" s="136">
        <v>0.0</v>
      </c>
      <c r="Q83" s="136">
        <v>0.0</v>
      </c>
      <c r="R83" s="136">
        <v>0.0</v>
      </c>
      <c r="S83" s="137">
        <v>45992.0</v>
      </c>
      <c r="T83" s="137">
        <v>46356.0</v>
      </c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-10.01</v>
      </c>
      <c r="G84" s="136">
        <v>0.0</v>
      </c>
      <c r="H84" s="136">
        <v>0.0</v>
      </c>
      <c r="I84" s="136">
        <v>65.0</v>
      </c>
      <c r="J84" s="136">
        <v>0.0</v>
      </c>
      <c r="K84" s="136">
        <v>0.0</v>
      </c>
      <c r="L84" s="136">
        <v>835.0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39</v>
      </c>
      <c r="D86" s="135">
        <v>1400.0</v>
      </c>
      <c r="E86" s="136">
        <v>1099.0</v>
      </c>
      <c r="F86" s="136">
        <v>496.32</v>
      </c>
      <c r="G86" s="136">
        <v>0.0</v>
      </c>
      <c r="H86" s="136">
        <v>0.0</v>
      </c>
      <c r="I86" s="136">
        <v>1099.0</v>
      </c>
      <c r="J86" s="136">
        <v>0.0</v>
      </c>
      <c r="K86" s="136">
        <v>0.0</v>
      </c>
      <c r="L86" s="136">
        <v>0.0</v>
      </c>
      <c r="M86" s="136">
        <v>0.0</v>
      </c>
      <c r="N86" s="136">
        <v>0.0</v>
      </c>
      <c r="O86" s="136">
        <v>0.0</v>
      </c>
      <c r="P86" s="136">
        <v>0.0</v>
      </c>
      <c r="Q86" s="136">
        <v>0.0</v>
      </c>
      <c r="R86" s="136">
        <v>0.0</v>
      </c>
      <c r="S86" s="137">
        <v>46002.0</v>
      </c>
      <c r="T86" s="137">
        <v>46356.0</v>
      </c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100.0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1136.4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297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107</v>
      </c>
      <c r="D93" s="135">
        <v>1400.0</v>
      </c>
      <c r="E93" s="136">
        <v>1150.0</v>
      </c>
      <c r="F93" s="136">
        <v>35.0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20.0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258.05</v>
      </c>
      <c r="G95" s="136">
        <v>0.0</v>
      </c>
      <c r="H95" s="136">
        <v>0.0</v>
      </c>
      <c r="I95" s="136">
        <v>371.0</v>
      </c>
      <c r="J95" s="136">
        <v>0.0</v>
      </c>
      <c r="K95" s="136">
        <v>0.0</v>
      </c>
      <c r="L95" s="136">
        <v>529.0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104</v>
      </c>
      <c r="C96" s="134" t="s">
        <v>39</v>
      </c>
      <c r="D96" s="135">
        <v>1400.0</v>
      </c>
      <c r="E96" s="136">
        <v>1365.0</v>
      </c>
      <c r="F96" s="136">
        <v>0.0</v>
      </c>
      <c r="G96" s="136">
        <v>0.0</v>
      </c>
      <c r="H96" s="136">
        <v>0.0</v>
      </c>
      <c r="I96" s="136">
        <v>1350.0</v>
      </c>
      <c r="J96" s="136">
        <v>0.0</v>
      </c>
      <c r="K96" s="136">
        <v>0.0</v>
      </c>
      <c r="L96" s="136">
        <v>0.0</v>
      </c>
      <c r="M96" s="136">
        <v>0.0</v>
      </c>
      <c r="N96" s="136">
        <v>0.0</v>
      </c>
      <c r="O96" s="136">
        <v>0.0</v>
      </c>
      <c r="P96" s="136">
        <v>0.0</v>
      </c>
      <c r="Q96" s="136">
        <v>0.0</v>
      </c>
      <c r="R96" s="136">
        <v>15.0</v>
      </c>
      <c r="S96" s="137">
        <v>46006.0</v>
      </c>
      <c r="T96" s="137">
        <v>46356.0</v>
      </c>
    </row>
    <row r="97" ht="18.0" customHeight="1">
      <c r="A97" s="134" t="s">
        <v>124</v>
      </c>
      <c r="B97" s="134" t="s">
        <v>115</v>
      </c>
      <c r="C97" s="134" t="s">
        <v>178</v>
      </c>
      <c r="D97" s="135">
        <v>1400.0</v>
      </c>
      <c r="E97" s="136">
        <v>1300.0</v>
      </c>
      <c r="F97" s="136">
        <v>5655.0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0.0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0.0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>
        <v>46356.0</v>
      </c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0.0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39</v>
      </c>
      <c r="D108" s="135">
        <v>1400.0</v>
      </c>
      <c r="E108" s="136">
        <v>1139.0</v>
      </c>
      <c r="F108" s="136">
        <v>15.0</v>
      </c>
      <c r="G108" s="136">
        <v>0.0</v>
      </c>
      <c r="H108" s="136">
        <v>0.0</v>
      </c>
      <c r="I108" s="136">
        <v>1099.0</v>
      </c>
      <c r="J108" s="136">
        <v>0.0</v>
      </c>
      <c r="K108" s="136">
        <v>0.0</v>
      </c>
      <c r="L108" s="136">
        <v>0.0</v>
      </c>
      <c r="M108" s="136">
        <v>0.0</v>
      </c>
      <c r="N108" s="136">
        <v>0.0</v>
      </c>
      <c r="O108" s="136">
        <v>25.0</v>
      </c>
      <c r="P108" s="136">
        <v>0.0</v>
      </c>
      <c r="Q108" s="136">
        <v>0.0</v>
      </c>
      <c r="R108" s="136">
        <v>15.0</v>
      </c>
      <c r="S108" s="137">
        <v>46037.0</v>
      </c>
      <c r="T108" s="137">
        <v>46387.0</v>
      </c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39</v>
      </c>
      <c r="D113" s="135">
        <v>1400.0</v>
      </c>
      <c r="E113" s="136">
        <v>1099.0</v>
      </c>
      <c r="F113" s="136">
        <v>1212.95</v>
      </c>
      <c r="G113" s="136">
        <v>0.0</v>
      </c>
      <c r="H113" s="136">
        <v>0.0</v>
      </c>
      <c r="I113" s="136">
        <v>1099.0</v>
      </c>
      <c r="J113" s="136">
        <v>0.0</v>
      </c>
      <c r="K113" s="136">
        <v>0.0</v>
      </c>
      <c r="L113" s="136">
        <v>0.0</v>
      </c>
      <c r="M113" s="136">
        <v>0.0</v>
      </c>
      <c r="N113" s="136">
        <v>0.0</v>
      </c>
      <c r="O113" s="136">
        <v>0.0</v>
      </c>
      <c r="P113" s="136">
        <v>0.0</v>
      </c>
      <c r="Q113" s="136">
        <v>0.0</v>
      </c>
      <c r="R113" s="136">
        <v>0.0</v>
      </c>
      <c r="S113" s="137">
        <v>46031.0</v>
      </c>
      <c r="T113" s="137">
        <v>46387.0</v>
      </c>
    </row>
    <row r="114" ht="18.0" customHeight="1">
      <c r="A114" s="134" t="s">
        <v>141</v>
      </c>
      <c r="B114" s="134" t="s">
        <v>38</v>
      </c>
      <c r="C114" s="134" t="s">
        <v>47</v>
      </c>
      <c r="D114" s="135">
        <v>1400.0</v>
      </c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7"/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0.0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45992.0</v>
      </c>
      <c r="T115" s="137">
        <v>46356.0</v>
      </c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-108.0</v>
      </c>
      <c r="G116" s="136">
        <v>0.0</v>
      </c>
      <c r="H116" s="136">
        <v>0.0</v>
      </c>
      <c r="I116" s="136">
        <v>125.0</v>
      </c>
      <c r="J116" s="136">
        <v>0.0</v>
      </c>
      <c r="K116" s="136">
        <v>0.0</v>
      </c>
      <c r="L116" s="136">
        <v>850.0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45992.0</v>
      </c>
      <c r="T116" s="137">
        <v>46356.0</v>
      </c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0.0</v>
      </c>
      <c r="G118" s="136">
        <v>0.0</v>
      </c>
      <c r="H118" s="136">
        <v>0.0</v>
      </c>
      <c r="I118" s="136">
        <v>334.0</v>
      </c>
      <c r="J118" s="136">
        <v>0.0</v>
      </c>
      <c r="K118" s="136">
        <v>0.0</v>
      </c>
      <c r="L118" s="136">
        <v>1016.0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-5.0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739.5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1400.0</v>
      </c>
      <c r="F125" s="136">
        <v>0.0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50.0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37.5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47</v>
      </c>
      <c r="D128" s="135">
        <v>1400.0</v>
      </c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7"/>
      <c r="T128" s="137"/>
    </row>
    <row r="129" ht="18.0" customHeight="1">
      <c r="A129" s="138" t="s">
        <v>156</v>
      </c>
      <c r="B129" s="138"/>
      <c r="C129" s="138" t="s">
        <v>157</v>
      </c>
      <c r="D129" s="139">
        <v>71400.0</v>
      </c>
      <c r="E129" s="140">
        <v>45436.0</v>
      </c>
      <c r="F129" s="140">
        <v>9582.71</v>
      </c>
      <c r="G129" s="140">
        <v>0.0</v>
      </c>
      <c r="H129" s="140">
        <v>0.0</v>
      </c>
      <c r="I129" s="140">
        <v>38461.0</v>
      </c>
      <c r="J129" s="140">
        <v>0.0</v>
      </c>
      <c r="K129" s="140">
        <v>0.0</v>
      </c>
      <c r="L129" s="140">
        <v>6870.0</v>
      </c>
      <c r="M129" s="140">
        <v>0.0</v>
      </c>
      <c r="N129" s="140">
        <v>0.0</v>
      </c>
      <c r="O129" s="140">
        <v>75.0</v>
      </c>
      <c r="P129" s="140">
        <v>0.0</v>
      </c>
      <c r="Q129" s="140">
        <v>0.0</v>
      </c>
      <c r="R129" s="140">
        <v>30.0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122.0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0.0</v>
      </c>
      <c r="G132" s="136">
        <v>900.0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432.0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0.0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-143.0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0.0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39</v>
      </c>
      <c r="D138" s="135">
        <v>800.0</v>
      </c>
      <c r="E138" s="136">
        <v>740.0</v>
      </c>
      <c r="F138" s="136">
        <v>787.25</v>
      </c>
      <c r="G138" s="136">
        <v>0.0</v>
      </c>
      <c r="H138" s="136">
        <v>0.0</v>
      </c>
      <c r="I138" s="136">
        <v>18.0</v>
      </c>
      <c r="J138" s="136">
        <v>0.0</v>
      </c>
      <c r="K138" s="136">
        <v>0.0</v>
      </c>
      <c r="L138" s="136">
        <v>0.0</v>
      </c>
      <c r="M138" s="136">
        <v>0.0</v>
      </c>
      <c r="N138" s="136">
        <v>707.0</v>
      </c>
      <c r="O138" s="136">
        <v>0.0</v>
      </c>
      <c r="P138" s="136">
        <v>0.0</v>
      </c>
      <c r="Q138" s="136">
        <v>0.0</v>
      </c>
      <c r="R138" s="136">
        <v>15.0</v>
      </c>
      <c r="S138" s="137">
        <v>46031.0</v>
      </c>
      <c r="T138" s="137">
        <v>46395.0</v>
      </c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1050.0</v>
      </c>
      <c r="F139" s="136">
        <v>210.0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1000.0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>
        <v>46203.0</v>
      </c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0.0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1225.0</v>
      </c>
      <c r="F141" s="136">
        <v>0.0</v>
      </c>
      <c r="G141" s="136">
        <v>0.0</v>
      </c>
      <c r="H141" s="136">
        <v>50.0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0.0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1280.0</v>
      </c>
      <c r="F143" s="136">
        <v>50.0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1200.0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>
        <v>46387.0</v>
      </c>
    </row>
    <row r="144" ht="18.0" customHeight="1">
      <c r="A144" s="134" t="s">
        <v>173</v>
      </c>
      <c r="B144" s="134" t="s">
        <v>168</v>
      </c>
      <c r="C144" s="134" t="s">
        <v>39</v>
      </c>
      <c r="D144" s="135">
        <v>1000.0</v>
      </c>
      <c r="E144" s="136">
        <v>1125.0</v>
      </c>
      <c r="F144" s="136">
        <v>0.0</v>
      </c>
      <c r="G144" s="136">
        <v>0.0</v>
      </c>
      <c r="H144" s="136">
        <v>0.0</v>
      </c>
      <c r="I144" s="136">
        <v>1125.0</v>
      </c>
      <c r="J144" s="136">
        <v>0.0</v>
      </c>
      <c r="K144" s="136">
        <v>0.0</v>
      </c>
      <c r="L144" s="136">
        <v>0.0</v>
      </c>
      <c r="M144" s="136">
        <v>0.0</v>
      </c>
      <c r="N144" s="136">
        <v>0.0</v>
      </c>
      <c r="O144" s="136">
        <v>0.0</v>
      </c>
      <c r="P144" s="136">
        <v>0.0</v>
      </c>
      <c r="Q144" s="136">
        <v>0.0</v>
      </c>
      <c r="R144" s="136">
        <v>0.0</v>
      </c>
      <c r="S144" s="137">
        <v>45996.0</v>
      </c>
      <c r="T144" s="137">
        <v>46356.0</v>
      </c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421.0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46568.0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443.0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0.0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0.0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1085.0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>
        <v>46356.0</v>
      </c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1000.0</v>
      </c>
      <c r="F153" s="136">
        <v>-211.0</v>
      </c>
      <c r="G153" s="136">
        <v>0.0</v>
      </c>
      <c r="H153" s="136">
        <v>0.0</v>
      </c>
      <c r="I153" s="136">
        <v>255.0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>
        <v>46387.0</v>
      </c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1733.93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283.0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>
        <v>46418.0</v>
      </c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-35.0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>
        <v>46326.0</v>
      </c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0.0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39</v>
      </c>
      <c r="D159" s="135">
        <v>850.0</v>
      </c>
      <c r="E159" s="136">
        <v>980.0</v>
      </c>
      <c r="F159" s="136">
        <v>0.0</v>
      </c>
      <c r="G159" s="136">
        <v>0.0</v>
      </c>
      <c r="H159" s="136">
        <v>0.0</v>
      </c>
      <c r="I159" s="136">
        <v>965.0</v>
      </c>
      <c r="J159" s="136">
        <v>0.0</v>
      </c>
      <c r="K159" s="136">
        <v>0.0</v>
      </c>
      <c r="L159" s="136">
        <v>0.0</v>
      </c>
      <c r="M159" s="136">
        <v>0.0</v>
      </c>
      <c r="N159" s="136">
        <v>0.0</v>
      </c>
      <c r="O159" s="136">
        <v>0.0</v>
      </c>
      <c r="P159" s="136">
        <v>0.0</v>
      </c>
      <c r="Q159" s="136">
        <v>0.0</v>
      </c>
      <c r="R159" s="136">
        <v>15.0</v>
      </c>
      <c r="S159" s="137">
        <v>46023.0</v>
      </c>
      <c r="T159" s="137">
        <v>46387.0</v>
      </c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0.0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>
        <v>46326.0</v>
      </c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-15.0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>
        <v>46387.0</v>
      </c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514.85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11.8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0.0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0.0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47</v>
      </c>
      <c r="D166" s="135">
        <v>850.0</v>
      </c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7"/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46387.0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813.0</v>
      </c>
      <c r="F168" s="136">
        <v>410.0</v>
      </c>
      <c r="G168" s="136">
        <v>0.0</v>
      </c>
      <c r="H168" s="136">
        <v>0.0</v>
      </c>
      <c r="I168" s="136">
        <v>334.0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479.0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46387.0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925.0</v>
      </c>
      <c r="F169" s="136">
        <v>0.0</v>
      </c>
      <c r="G169" s="136">
        <v>0.0</v>
      </c>
      <c r="H169" s="136">
        <v>0.0</v>
      </c>
      <c r="I169" s="136">
        <v>925.0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>
        <v>46387.0</v>
      </c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342</v>
      </c>
      <c r="D171" s="139">
        <v>34800.0</v>
      </c>
      <c r="E171" s="140">
        <v>33959.5</v>
      </c>
      <c r="F171" s="140">
        <v>6099.83</v>
      </c>
      <c r="G171" s="140">
        <v>900.0</v>
      </c>
      <c r="H171" s="140">
        <v>180.0</v>
      </c>
      <c r="I171" s="140">
        <v>16346.0</v>
      </c>
      <c r="J171" s="140">
        <v>0.0</v>
      </c>
      <c r="K171" s="140">
        <v>4541.0</v>
      </c>
      <c r="L171" s="140">
        <v>0.0</v>
      </c>
      <c r="M171" s="140">
        <v>1958.0</v>
      </c>
      <c r="N171" s="140">
        <v>9869.0</v>
      </c>
      <c r="O171" s="140">
        <v>125.0</v>
      </c>
      <c r="P171" s="140">
        <v>0.0</v>
      </c>
      <c r="Q171" s="140">
        <v>0.0</v>
      </c>
      <c r="R171" s="140">
        <v>40.5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530.0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0.0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0.0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974.75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1105.0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46142.0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46568.0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850.0</v>
      </c>
      <c r="F190" s="136">
        <v>-103.48</v>
      </c>
      <c r="G190" s="136">
        <v>0.0</v>
      </c>
      <c r="H190" s="136">
        <v>0.0</v>
      </c>
      <c r="I190" s="136">
        <v>238.0</v>
      </c>
      <c r="J190" s="136">
        <v>0.0</v>
      </c>
      <c r="K190" s="136">
        <v>0.0</v>
      </c>
      <c r="L190" s="136">
        <v>612.0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39</v>
      </c>
      <c r="D192" s="135">
        <v>825.0</v>
      </c>
      <c r="E192" s="136">
        <v>925.0</v>
      </c>
      <c r="F192" s="136">
        <v>0.0</v>
      </c>
      <c r="G192" s="136">
        <v>0.0</v>
      </c>
      <c r="H192" s="136">
        <v>0.0</v>
      </c>
      <c r="I192" s="136">
        <v>925.0</v>
      </c>
      <c r="J192" s="136">
        <v>0.0</v>
      </c>
      <c r="K192" s="136">
        <v>0.0</v>
      </c>
      <c r="L192" s="136">
        <v>0.0</v>
      </c>
      <c r="M192" s="136">
        <v>0.0</v>
      </c>
      <c r="N192" s="136">
        <v>0.0</v>
      </c>
      <c r="O192" s="136">
        <v>0.0</v>
      </c>
      <c r="P192" s="136">
        <v>0.0</v>
      </c>
      <c r="Q192" s="136">
        <v>0.0</v>
      </c>
      <c r="R192" s="136">
        <v>0.0</v>
      </c>
      <c r="S192" s="137">
        <v>46022.0</v>
      </c>
      <c r="T192" s="137">
        <v>46356.0</v>
      </c>
    </row>
    <row r="193" ht="18.0" customHeight="1">
      <c r="A193" s="134" t="s">
        <v>224</v>
      </c>
      <c r="B193" s="134" t="s">
        <v>56</v>
      </c>
      <c r="C193" s="134" t="s">
        <v>39</v>
      </c>
      <c r="D193" s="135">
        <v>750.0</v>
      </c>
      <c r="E193" s="136">
        <v>840.0</v>
      </c>
      <c r="F193" s="136">
        <v>773.0</v>
      </c>
      <c r="G193" s="136">
        <v>0.0</v>
      </c>
      <c r="H193" s="136">
        <v>0.0</v>
      </c>
      <c r="I193" s="136">
        <v>800.0</v>
      </c>
      <c r="J193" s="136">
        <v>0.0</v>
      </c>
      <c r="K193" s="136">
        <v>0.0</v>
      </c>
      <c r="L193" s="136">
        <v>0.0</v>
      </c>
      <c r="M193" s="136">
        <v>0.0</v>
      </c>
      <c r="N193" s="136">
        <v>0.0</v>
      </c>
      <c r="O193" s="136">
        <v>25.0</v>
      </c>
      <c r="P193" s="136">
        <v>0.0</v>
      </c>
      <c r="Q193" s="136">
        <v>0.0</v>
      </c>
      <c r="R193" s="136">
        <v>15.0</v>
      </c>
      <c r="S193" s="137">
        <v>45987.0</v>
      </c>
      <c r="T193" s="137">
        <v>46326.0</v>
      </c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800.0</v>
      </c>
      <c r="F194" s="136">
        <v>0.0</v>
      </c>
      <c r="G194" s="136">
        <v>0.0</v>
      </c>
      <c r="H194" s="136">
        <v>0.0</v>
      </c>
      <c r="I194" s="136">
        <v>800.0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>
        <v>46568.0</v>
      </c>
    </row>
    <row r="195" ht="18.0" customHeight="1">
      <c r="A195" s="138" t="s">
        <v>226</v>
      </c>
      <c r="B195" s="138"/>
      <c r="C195" s="138" t="s">
        <v>44</v>
      </c>
      <c r="D195" s="139">
        <v>17550.0</v>
      </c>
      <c r="E195" s="140">
        <v>18050.0</v>
      </c>
      <c r="F195" s="140">
        <v>3279.27</v>
      </c>
      <c r="G195" s="140">
        <v>0.0</v>
      </c>
      <c r="H195" s="140">
        <v>0.0</v>
      </c>
      <c r="I195" s="140">
        <v>17398.0</v>
      </c>
      <c r="J195" s="140">
        <v>0.0</v>
      </c>
      <c r="K195" s="140">
        <v>0.0</v>
      </c>
      <c r="L195" s="140">
        <v>612.0</v>
      </c>
      <c r="M195" s="140">
        <v>0.0</v>
      </c>
      <c r="N195" s="140">
        <v>0.0</v>
      </c>
      <c r="O195" s="140">
        <v>25.0</v>
      </c>
      <c r="P195" s="140">
        <v>0.0</v>
      </c>
      <c r="Q195" s="140">
        <v>0.0</v>
      </c>
      <c r="R195" s="140">
        <v>15.0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0.0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0.0</v>
      </c>
      <c r="G199" s="136">
        <v>0.0</v>
      </c>
      <c r="H199" s="136">
        <v>225.0</v>
      </c>
      <c r="I199" s="136">
        <v>122.0</v>
      </c>
      <c r="J199" s="136">
        <v>0.0</v>
      </c>
      <c r="K199" s="136">
        <v>0.0</v>
      </c>
      <c r="L199" s="136">
        <v>903.0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1175.0</v>
      </c>
      <c r="F200" s="136">
        <v>6.7</v>
      </c>
      <c r="G200" s="136">
        <v>0.0</v>
      </c>
      <c r="H200" s="136">
        <v>225.0</v>
      </c>
      <c r="I200" s="136">
        <v>950.0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-690.0</v>
      </c>
      <c r="G202" s="136">
        <v>0.0</v>
      </c>
      <c r="H202" s="136">
        <v>225.0</v>
      </c>
      <c r="I202" s="136">
        <v>144.0</v>
      </c>
      <c r="J202" s="136">
        <v>0.0</v>
      </c>
      <c r="K202" s="136">
        <v>0.0</v>
      </c>
      <c r="L202" s="136">
        <v>881.0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1529.51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1220.0</v>
      </c>
      <c r="F207" s="136">
        <v>-0.26</v>
      </c>
      <c r="G207" s="136">
        <v>0.0</v>
      </c>
      <c r="H207" s="136">
        <v>225.0</v>
      </c>
      <c r="I207" s="136">
        <v>199.0</v>
      </c>
      <c r="J207" s="136">
        <v>0.0</v>
      </c>
      <c r="K207" s="136">
        <v>0.0</v>
      </c>
      <c r="L207" s="136">
        <v>796.0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-91.25</v>
      </c>
      <c r="G208" s="136">
        <v>0.0</v>
      </c>
      <c r="H208" s="136">
        <v>225.0</v>
      </c>
      <c r="I208" s="136">
        <v>222.0</v>
      </c>
      <c r="J208" s="136">
        <v>0.0</v>
      </c>
      <c r="K208" s="136">
        <v>0.0</v>
      </c>
      <c r="L208" s="136">
        <v>803.0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1250.0</v>
      </c>
      <c r="F211" s="136">
        <v>-3.0</v>
      </c>
      <c r="G211" s="136">
        <v>0.0</v>
      </c>
      <c r="H211" s="136">
        <v>225.0</v>
      </c>
      <c r="I211" s="136">
        <v>508.0</v>
      </c>
      <c r="J211" s="136">
        <v>0.0</v>
      </c>
      <c r="K211" s="136">
        <v>0.0</v>
      </c>
      <c r="L211" s="136">
        <v>517.0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654.02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39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0.0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46568.0</v>
      </c>
    </row>
    <row r="217" ht="18.0" customHeight="1">
      <c r="A217" s="134" t="s">
        <v>84</v>
      </c>
      <c r="B217" s="134" t="s">
        <v>38</v>
      </c>
      <c r="C217" s="134" t="s">
        <v>47</v>
      </c>
      <c r="D217" s="135">
        <v>825.0</v>
      </c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7"/>
      <c r="T217" s="137"/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0.0</v>
      </c>
      <c r="G222" s="136">
        <v>0.0</v>
      </c>
      <c r="H222" s="136">
        <v>225.0</v>
      </c>
      <c r="I222" s="136">
        <v>408.0</v>
      </c>
      <c r="J222" s="136">
        <v>0.0</v>
      </c>
      <c r="K222" s="136">
        <v>0.0</v>
      </c>
      <c r="L222" s="136">
        <v>667.0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46265.0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1225.0</v>
      </c>
      <c r="F225" s="136">
        <v>400.0</v>
      </c>
      <c r="G225" s="136">
        <v>0.0</v>
      </c>
      <c r="H225" s="136">
        <v>225.0</v>
      </c>
      <c r="I225" s="136">
        <v>1000.0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>
        <v>46387.0</v>
      </c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1175.0</v>
      </c>
      <c r="F226" s="136">
        <v>0.0</v>
      </c>
      <c r="G226" s="136">
        <v>0.0</v>
      </c>
      <c r="H226" s="136">
        <v>225.0</v>
      </c>
      <c r="I226" s="136">
        <v>950.0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46387.0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48.75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-20.0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46446.0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1129.25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18.0</v>
      </c>
      <c r="G233" s="136">
        <v>0.0</v>
      </c>
      <c r="H233" s="136">
        <v>225.0</v>
      </c>
      <c r="I233" s="136">
        <v>448.0</v>
      </c>
      <c r="J233" s="136">
        <v>0.0</v>
      </c>
      <c r="K233" s="136">
        <v>0.0</v>
      </c>
      <c r="L233" s="136">
        <v>577.0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343.7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47</v>
      </c>
      <c r="D236" s="135">
        <v>825.0</v>
      </c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7"/>
      <c r="T236" s="137"/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-260.0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47</v>
      </c>
      <c r="D238" s="135">
        <v>825.0</v>
      </c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7"/>
      <c r="T238" s="137"/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-2364.0</v>
      </c>
      <c r="G239" s="136">
        <v>0.0</v>
      </c>
      <c r="H239" s="136">
        <v>125.0</v>
      </c>
      <c r="I239" s="136">
        <v>186.0</v>
      </c>
      <c r="J239" s="136">
        <v>0.0</v>
      </c>
      <c r="K239" s="136">
        <v>0.0</v>
      </c>
      <c r="L239" s="136">
        <v>687.0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1250.0</v>
      </c>
      <c r="F240" s="136">
        <v>-615.8</v>
      </c>
      <c r="G240" s="136">
        <v>0.0</v>
      </c>
      <c r="H240" s="136">
        <v>225.0</v>
      </c>
      <c r="I240" s="136">
        <v>99.0</v>
      </c>
      <c r="J240" s="136">
        <v>0.0</v>
      </c>
      <c r="K240" s="136">
        <v>0.0</v>
      </c>
      <c r="L240" s="136">
        <v>926.0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>
        <v>46302.0</v>
      </c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0.0</v>
      </c>
      <c r="G241" s="136">
        <v>0.0</v>
      </c>
      <c r="H241" s="136">
        <v>225.0</v>
      </c>
      <c r="I241" s="136">
        <v>275.0</v>
      </c>
      <c r="J241" s="136">
        <v>0.0</v>
      </c>
      <c r="K241" s="136">
        <v>0.0</v>
      </c>
      <c r="L241" s="136">
        <v>750.0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-1.1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-150.0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>
        <v>46387.0</v>
      </c>
    </row>
    <row r="247" ht="18.0" customHeight="1">
      <c r="A247" s="138" t="s">
        <v>244</v>
      </c>
      <c r="B247" s="138"/>
      <c r="C247" s="138" t="s">
        <v>358</v>
      </c>
      <c r="D247" s="139">
        <v>40350.0</v>
      </c>
      <c r="E247" s="140">
        <v>49759.3</v>
      </c>
      <c r="F247" s="140">
        <v>-220.48</v>
      </c>
      <c r="G247" s="140">
        <v>0.0</v>
      </c>
      <c r="H247" s="140">
        <v>8420.8</v>
      </c>
      <c r="I247" s="140">
        <v>32081.5</v>
      </c>
      <c r="J247" s="140">
        <v>0.0</v>
      </c>
      <c r="K247" s="140">
        <v>0.0</v>
      </c>
      <c r="L247" s="140">
        <v>9167.0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600.0</v>
      </c>
      <c r="F249" s="136">
        <v>-1268.33</v>
      </c>
      <c r="G249" s="136">
        <v>0.0</v>
      </c>
      <c r="H249" s="136">
        <v>0.0</v>
      </c>
      <c r="I249" s="136">
        <v>115.0</v>
      </c>
      <c r="J249" s="136">
        <v>485.0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-675.0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46630.0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0.0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0.0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46477.0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170.44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0.0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0.0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0.0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46477.0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-57.07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0.0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-800.0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568.94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0.0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178</v>
      </c>
      <c r="D262" s="135">
        <v>675.0</v>
      </c>
      <c r="E262" s="136">
        <v>775.0</v>
      </c>
      <c r="F262" s="136">
        <v>2321.14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700.0</v>
      </c>
      <c r="F263" s="136">
        <v>570.08</v>
      </c>
      <c r="G263" s="136">
        <v>0.0</v>
      </c>
      <c r="H263" s="136">
        <v>0.0</v>
      </c>
      <c r="I263" s="136">
        <v>700.0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>
        <v>46356.0</v>
      </c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0.0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46447.0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-36.83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390.94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46507.0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0.0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46403.0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96.88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46418.0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675.0</v>
      </c>
      <c r="F269" s="136">
        <v>-746.01</v>
      </c>
      <c r="G269" s="136">
        <v>0.0</v>
      </c>
      <c r="H269" s="136">
        <v>0.0</v>
      </c>
      <c r="I269" s="136">
        <v>675.0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0.0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854.5</v>
      </c>
      <c r="G271" s="136">
        <v>0.0</v>
      </c>
      <c r="H271" s="136">
        <v>0.0</v>
      </c>
      <c r="I271" s="136">
        <v>750.0</v>
      </c>
      <c r="J271" s="136">
        <v>0.0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46394.0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0.0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46326.0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-582.0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401.47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0.0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765.0</v>
      </c>
      <c r="F276" s="136">
        <v>15.0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15.0</v>
      </c>
      <c r="S276" s="137">
        <v>44742.0</v>
      </c>
      <c r="T276" s="137">
        <v>46356.0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-1.0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807.36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46294.0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22115.0</v>
      </c>
      <c r="F279" s="140">
        <v>2030.51</v>
      </c>
      <c r="G279" s="140">
        <v>0.0</v>
      </c>
      <c r="H279" s="140">
        <v>0.0</v>
      </c>
      <c r="I279" s="140">
        <v>19513.0</v>
      </c>
      <c r="J279" s="140">
        <v>2537.0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15.0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202</v>
      </c>
      <c r="D281" s="139">
        <v>229909.0</v>
      </c>
      <c r="E281" s="140">
        <v>211779.8</v>
      </c>
      <c r="F281" s="140">
        <v>35438.1</v>
      </c>
      <c r="G281" s="140">
        <v>900.0</v>
      </c>
      <c r="H281" s="140">
        <v>8600.8</v>
      </c>
      <c r="I281" s="140">
        <v>163224.5</v>
      </c>
      <c r="J281" s="140">
        <v>3465.0</v>
      </c>
      <c r="K281" s="140">
        <v>4541.0</v>
      </c>
      <c r="L281" s="140">
        <v>18616.0</v>
      </c>
      <c r="M281" s="140">
        <v>1958.0</v>
      </c>
      <c r="N281" s="140">
        <v>9869.0</v>
      </c>
      <c r="O281" s="140">
        <v>450.0</v>
      </c>
      <c r="P281" s="140">
        <v>25.0</v>
      </c>
      <c r="Q281" s="140">
        <v>15.0</v>
      </c>
      <c r="R281" s="140">
        <v>115.5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0.9184081633</v>
      </c>
      <c r="D282" s="145">
        <f t="shared" ref="D282:D284" si="2">IFERROR(
  SUMPRODUCT((A$285:A$295=A282)*D$285:D$295*I$285:I$295) /
  SUMPRODUCT((A$285:A$295=A282)*I$285:I$295),
0)</f>
        <v>0.9328904975</v>
      </c>
      <c r="E282" s="146">
        <f t="shared" ref="E282:E284" si="3">IFERROR(
  SUMPRODUCT((A$285:A$295=A282)*E$285:E$295),
0)
</f>
        <v>271.63</v>
      </c>
      <c r="F282" s="147">
        <f t="shared" ref="F282:F284" si="4">IFERROR(
  SUMPRODUCT((A$285:A$295=A282)*F$285:F$295),
0)
</f>
        <v>3539.88</v>
      </c>
      <c r="G282" s="148">
        <f t="shared" ref="G282:G284" si="5">IFERROR(
  SUMPRODUCT((A$285:A$295=A282)*G$285:G$295),
0)
</f>
        <v>3</v>
      </c>
      <c r="H282" s="149">
        <f t="shared" ref="H282:H284" si="6">IFERROR(
  SUMPRODUCT((A$285:A$295=A282)*H$285:H$295*I$285:I$295) /
  SUMPRODUCT((A$285:A$295=A282)*I$285:I$295),
0)</f>
        <v>0.8826530612</v>
      </c>
    </row>
    <row r="283" ht="18.0" customHeight="1">
      <c r="A283" s="196" t="s">
        <v>251</v>
      </c>
      <c r="B283" s="153"/>
      <c r="C283" s="154">
        <f t="shared" si="1"/>
        <v>0.8644170854</v>
      </c>
      <c r="D283" s="155">
        <f t="shared" si="2"/>
        <v>0.8681155231</v>
      </c>
      <c r="E283" s="156">
        <f t="shared" si="3"/>
        <v>19495.51</v>
      </c>
      <c r="F283" s="157">
        <f t="shared" si="4"/>
        <v>31898.22</v>
      </c>
      <c r="G283" s="158">
        <f t="shared" si="5"/>
        <v>2</v>
      </c>
      <c r="H283" s="149">
        <f t="shared" si="6"/>
        <v>0.7895918932</v>
      </c>
    </row>
    <row r="284" ht="18.0" customHeight="1">
      <c r="A284" s="160" t="s">
        <v>252</v>
      </c>
      <c r="B284" s="161"/>
      <c r="C284" s="162">
        <f t="shared" si="1"/>
        <v>0</v>
      </c>
      <c r="D284" s="163">
        <f t="shared" si="2"/>
        <v>0</v>
      </c>
      <c r="E284" s="164">
        <f t="shared" si="3"/>
        <v>0</v>
      </c>
      <c r="F284" s="165">
        <f t="shared" si="4"/>
        <v>0</v>
      </c>
      <c r="G284" s="166">
        <f t="shared" si="5"/>
        <v>0</v>
      </c>
      <c r="H284" s="149">
        <f t="shared" si="6"/>
        <v>0</v>
      </c>
    </row>
    <row r="285" ht="18.0" customHeight="1">
      <c r="A285" s="187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"),0.75)</f>
        <v>0.75</v>
      </c>
      <c r="D285" s="172">
        <f t="array" ref="D285">SUM(MAP(E11:E14, F11:F14, LAMBDA(e,f, MAX(0, e-f)))) / SUM(E11:E14)
</f>
        <v>0.9034188034</v>
      </c>
      <c r="E285" s="173">
        <f t="array" ref="E285">SUM(MAP(E$11:E$14, F$11:F$14, LAMBDA(e,f, MIN(e, f))))
</f>
        <v>282.5</v>
      </c>
      <c r="F285" s="174">
        <f>F15</f>
        <v>282.5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"),1.0)</f>
        <v>1</v>
      </c>
      <c r="I285" s="175">
        <v>4.0</v>
      </c>
    </row>
    <row r="286" ht="18.0" customHeight="1">
      <c r="A286" s="187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1</v>
      </c>
      <c r="E286" s="173">
        <f t="array" ref="E286">SUM(MAP(E$17:E$22, F$17:F$22, LAMBDA(e,f, MIN(e, f))))
</f>
        <v>0</v>
      </c>
      <c r="F286" s="174">
        <f>F23</f>
        <v>0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"),0.75)</f>
        <v>0.75</v>
      </c>
      <c r="I286" s="175">
        <v>6.0</v>
      </c>
    </row>
    <row r="287" ht="18.0" customHeight="1">
      <c r="A287" s="187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"),0.8)</f>
        <v>0.8</v>
      </c>
      <c r="D287" s="172">
        <f t="array" ref="D287">SUM(MAP(E25:E29, F25:F29, LAMBDA(e, f, MAX(0, e - f)))) / SUM(E25:E29)</f>
        <v>0.7521367521</v>
      </c>
      <c r="E287" s="173">
        <f t="array" ref="E287">SUM(MAP(E$25:E$29, F$25:F$29, LAMBDA(e,f, MIN(e, f))))
</f>
        <v>725</v>
      </c>
      <c r="F287" s="174">
        <f>F30</f>
        <v>2310.25</v>
      </c>
      <c r="G287" s="175">
        <f>IFERROR(__xludf.DUMMYFUNCTION("SUMPRODUCT(--(C25:C29&lt;&gt;""Vacant-Unrented""),--(C25:C29&lt;&gt;""Vacant-Rented""),--((N(W25:W29)&gt;N(X25:X29))+N(REGEXMATCH(LOWER(C25:C29),""evict""))&gt;0))"),1.0)</f>
        <v>1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"),0.75)</f>
        <v>0.75</v>
      </c>
      <c r="I287" s="175">
        <v>5.0</v>
      </c>
    </row>
    <row r="288" ht="18.0" customHeight="1">
      <c r="A288" s="187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0.9222533333</v>
      </c>
      <c r="E288" s="173">
        <f t="array" ref="E288">SUM(MAP(E$32:E$33, F$32:F$33, LAMBDA(e,f, MIN(e, f))))
</f>
        <v>116.62</v>
      </c>
      <c r="F288" s="174">
        <f>F34</f>
        <v>116.62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</row>
    <row r="289" ht="18.0" customHeight="1">
      <c r="A289" s="187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1.5</v>
      </c>
      <c r="E289" s="173">
        <f t="array" ref="E289">SUM(MAP(E$36:E$37, F$36:F$37, LAMBDA(e,f, MIN(e, f))))
</f>
        <v>-1200</v>
      </c>
      <c r="F289" s="174">
        <f>F38</f>
        <v>-1200</v>
      </c>
      <c r="G289" s="175">
        <f>IFERROR(__xludf.DUMMYFUNCTION("SUMPRODUCT(--(C40:C75&lt;&gt;""Vacant-Unrented""),--(C40:C75&lt;&gt;""Vacant-Rented""),--((N(W40:W75)&gt;N(X40:X75))+N(REGEXMATCH(LOWER(C40:C75),""evict""))&gt;0))"),1.0)</f>
        <v>1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</row>
    <row r="290" ht="18.0" customHeight="1">
      <c r="A290" s="179" t="s">
        <v>251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0.7605624247</v>
      </c>
      <c r="E290" s="173">
        <f t="array" ref="E290">SUM(MAP(E$40:E$75, F$40:F$75, LAMBDA(e,f, MIN(e, f))))
</f>
        <v>6952.07</v>
      </c>
      <c r="F290" s="174">
        <f>F76</f>
        <v>13156.89</v>
      </c>
      <c r="G290" s="175">
        <f>IFERROR(__xludf.DUMMYFUNCTION("SUMPRODUCT(--(C40:C75&lt;&gt;""Vacant-Unrented""),--(C40:C75&lt;&gt;""Vacant-Rented""),--((N(W40:W75)&gt;N(X40:X75))+N(REGEXMATCH(LOWER(C40:C75),""evict""))&gt;0))"),1.0)</f>
        <v>1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"),0.84375)</f>
        <v>0.84375</v>
      </c>
      <c r="I290" s="175">
        <v>36.0</v>
      </c>
    </row>
    <row r="291" ht="18.0" customHeight="1">
      <c r="A291" s="187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"),0.765)</f>
        <v>0.765</v>
      </c>
      <c r="D291" s="172">
        <f t="array" ref="D291">SUM(MAP(E79:E129, F79:F129, LAMBDA(e,f, MAX(0, e-f)))) / SUM(E79:E129)
</f>
        <v>0.8366550705</v>
      </c>
      <c r="E291" s="173">
        <f t="array" ref="E291">SUM(MAP(E$78:E$128, F$78:F$128, LAMBDA(e,f, MIN(e, f))))
</f>
        <v>5113.76</v>
      </c>
      <c r="F291" s="174">
        <f>F129</f>
        <v>9582.71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"),1.0)</f>
        <v>1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"),0.8974358974358975)</f>
        <v>0.8974358974</v>
      </c>
      <c r="I291" s="175">
        <v>51.0</v>
      </c>
    </row>
    <row r="292" ht="18.0" customHeight="1">
      <c r="A292" s="179" t="s">
        <v>251</v>
      </c>
      <c r="B292" s="170" t="s">
        <v>266</v>
      </c>
      <c r="C292" s="171">
        <f>IFERROR(__xludf.DUMMYFUNCTION("IF(ISNUMBER(SEARCH(""%"",C171)), VALUE(REGEXREPLACE(C171,""[^0-9.]"",""""))/100, VALUE(REGEXREPLACE(C171,""[^0-9.]"","""")))
"),0.925)</f>
        <v>0.925</v>
      </c>
      <c r="D292" s="172">
        <f t="array" ref="D292">SUM(MAP(E131:E170, F131:F170, LAMBDA(e,f, MAX(0, e-f)))) / SUM(E131:E170)
</f>
        <v>0.8518779723</v>
      </c>
      <c r="E292" s="173">
        <f t="array" ref="E292">SUM(MAP(E$131:E$170, F$131:F$170, LAMBDA(e,f, MIN(e, f))))
</f>
        <v>5030.15</v>
      </c>
      <c r="F292" s="174">
        <f>F171</f>
        <v>6099.83</v>
      </c>
      <c r="G292" s="175">
        <f>IFERROR(__xludf.DUMMYFUNCTION("SUMPRODUCT(--(C131:C170&lt;&gt;""Vacant-Unrented""),--(C131:C170&lt;&gt;""Vacant-Rented""),--((N(W131:W170)&gt;N(X131:X170))+N(REGEXMATCH(LOWER(C131:C170),""evict""))&gt;0))"),0.0)</f>
        <v>0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"),0.7567567567567568)</f>
        <v>0.7567567568</v>
      </c>
      <c r="I292" s="175">
        <v>40.0</v>
      </c>
    </row>
    <row r="293" ht="18.0" customHeight="1">
      <c r="A293" s="197" t="s">
        <v>251</v>
      </c>
      <c r="B293" s="170" t="s">
        <v>268</v>
      </c>
      <c r="C293" s="171">
        <f>IFERROR(__xludf.DUMMYFUNCTION("IF(ISNUMBER(SEARCH(""%"",C195)), VALUE(REGEXREPLACE(C195,""[^0-9.]"",""""))/100, VALUE(REGEXREPLACE(C195,""[^0-9.]"","""")))
"),1.0)</f>
        <v>1</v>
      </c>
      <c r="D293" s="172">
        <f t="array" ref="D293">SUM(MAP(E174:E195, F174:F195, LAMBDA(e,f, MAX(0, e-f)))) / SUM(E174:E195)
</f>
        <v>0.8239911693</v>
      </c>
      <c r="E293" s="173">
        <f t="array" ref="E293">SUM(MAP(E$173:E$194, F$173:F$194, LAMBDA(e,f, MIN(e, f))))
</f>
        <v>2899.52</v>
      </c>
      <c r="F293" s="174">
        <f>F195</f>
        <v>3279.27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"),0.6818181818181818)</f>
        <v>0.6818181818</v>
      </c>
      <c r="I293" s="175">
        <v>22.0</v>
      </c>
    </row>
    <row r="294" ht="18.0" customHeight="1">
      <c r="A294" s="179" t="s">
        <v>251</v>
      </c>
      <c r="B294" s="170" t="s">
        <v>270</v>
      </c>
      <c r="C294" s="171">
        <f>IFERROR(__xludf.DUMMYFUNCTION("IF(ISNUMBER(SEARCH(""%"",C247)), VALUE(REGEXREPLACE(C247,""[^0-9.]"",""""))/100, VALUE(REGEXREPLACE(C247,""[^0-9.]"","""")))
"),0.84)</f>
        <v>0.84</v>
      </c>
      <c r="D294" s="172">
        <f t="array" ref="D294">SUM(MAP(E197:E246, F197:F246, LAMBDA(e,f, MAX(0, e-f)))) / SUM(E197:E246)
</f>
        <v>1.010048172</v>
      </c>
      <c r="E294" s="173">
        <f t="array" ref="E294">SUM(MAP(E$197:E$246, F$197:F$246, LAMBDA(e,f, MIN(e, f))))
</f>
        <v>-499.99</v>
      </c>
      <c r="F294" s="174">
        <f>F247</f>
        <v>-220.48</v>
      </c>
      <c r="G294" s="175">
        <f>IFERROR(__xludf.DUMMYFUNCTION("SUMPRODUCT(--(C197:C246&lt;&gt;""Vacant-Unrented""),--(C197:C246&lt;&gt;""Vacant-Rented""),--((N(W197:W246)&gt;N(X197:X246))+N(REGEXMATCH(LOWER(C197:C246),""evict""))&gt;0))"),0.0)</f>
        <v>0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"),0.7142857142857143)</f>
        <v>0.7142857143</v>
      </c>
      <c r="I294" s="175">
        <v>50.0</v>
      </c>
    </row>
    <row r="295" ht="18.0" customHeight="1">
      <c r="A295" s="179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0.9164256246</v>
      </c>
      <c r="E295" s="183">
        <f t="array" ref="E295">SUM(MAP(E$249:E$278, F$249:F$278, LAMBDA(e,f, MIN(e, f))))
</f>
        <v>347.51</v>
      </c>
      <c r="F295" s="184">
        <f>F279</f>
        <v>2030.51</v>
      </c>
      <c r="G295" s="185">
        <f>IFERROR(__xludf.DUMMYFUNCTION("SUMPRODUCT(--(C249:C278&lt;&gt;""Vacant-Unrented""),--(C249:C278&lt;&gt;""Vacant-Rented""),--((N(W249:W278)&gt;N(X249:X278))+N(REGEXMATCH(LOWER(C249:C278),""evict""))&gt;0))"),1.0)</f>
        <v>1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"),0.9)</f>
        <v>0.9</v>
      </c>
      <c r="I295" s="175">
        <v>30.0</v>
      </c>
    </row>
    <row r="296" ht="18.0" customHeight="1">
      <c r="A296" s="187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0)"),0.8758783269961977)</f>
        <v>0.875878327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"),0.9066618251599065)</f>
        <v>0.9066618252</v>
      </c>
      <c r="E296" s="190">
        <f t="shared" ref="E296:G296" si="7">sum(E285:E295)</f>
        <v>19767.14</v>
      </c>
      <c r="F296" s="190">
        <f t="shared" si="7"/>
        <v>35438.1</v>
      </c>
      <c r="G296" s="191">
        <f t="shared" si="7"/>
        <v>5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"),0.8064516129032258)</f>
        <v>0.8064516129</v>
      </c>
      <c r="I296" s="193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5.63"/>
    <col customWidth="1" min="3" max="3" width="32.38"/>
    <col customWidth="1" min="4" max="4" width="16.25"/>
    <col customWidth="1" min="5" max="5" width="19.75"/>
    <col customWidth="1" min="6" max="6" width="21.5"/>
    <col customWidth="1" min="7" max="7" width="31.25"/>
    <col customWidth="1" min="8" max="8" width="111.13"/>
    <col customWidth="1" min="9" max="9" width="44.88"/>
    <col customWidth="1" min="10" max="11" width="62.38"/>
    <col customWidth="1" min="12" max="12" width="66.25"/>
    <col customWidth="1" min="13" max="13" width="64.38"/>
    <col customWidth="1" min="14" max="14" width="62.38"/>
    <col customWidth="1" min="15" max="15" width="21.5"/>
    <col customWidth="1" min="16" max="17" width="27.25"/>
    <col customWidth="1" min="18" max="18" width="41.0"/>
    <col customWidth="1" min="19" max="19" width="25.38"/>
    <col customWidth="1" min="20" max="20" width="21.5"/>
    <col customWidth="1" min="21" max="26" width="8.63"/>
  </cols>
  <sheetData>
    <row r="1" ht="18.0" customHeight="1">
      <c r="A1" s="128" t="s">
        <v>10</v>
      </c>
    </row>
    <row r="2" ht="18.0" customHeight="1">
      <c r="A2" s="130" t="s">
        <v>374</v>
      </c>
    </row>
    <row r="3" ht="18.0" customHeight="1">
      <c r="A3" s="130"/>
    </row>
    <row r="4" ht="18.0" customHeight="1">
      <c r="A4" s="131" t="s">
        <v>375</v>
      </c>
    </row>
    <row r="5" ht="18.0" customHeight="1">
      <c r="A5" s="131" t="s">
        <v>376</v>
      </c>
    </row>
    <row r="6" ht="18.0" customHeight="1">
      <c r="A6" s="131" t="s">
        <v>377</v>
      </c>
    </row>
    <row r="7" ht="18.0" customHeight="1">
      <c r="A7" s="131" t="s">
        <v>378</v>
      </c>
    </row>
    <row r="8" ht="18.0" customHeight="1">
      <c r="A8" s="130"/>
    </row>
    <row r="9" ht="18.0" customHeight="1">
      <c r="A9" s="132" t="s">
        <v>16</v>
      </c>
      <c r="B9" s="132" t="s">
        <v>17</v>
      </c>
      <c r="C9" s="132" t="s">
        <v>18</v>
      </c>
      <c r="D9" s="132" t="s">
        <v>19</v>
      </c>
      <c r="E9" s="132" t="s">
        <v>20</v>
      </c>
      <c r="F9" s="132" t="s">
        <v>21</v>
      </c>
      <c r="G9" s="132" t="s">
        <v>22</v>
      </c>
      <c r="H9" s="132" t="s">
        <v>23</v>
      </c>
      <c r="I9" s="132" t="s">
        <v>24</v>
      </c>
      <c r="J9" s="132" t="s">
        <v>25</v>
      </c>
      <c r="K9" s="132" t="s">
        <v>26</v>
      </c>
      <c r="L9" s="132" t="s">
        <v>27</v>
      </c>
      <c r="M9" s="132" t="s">
        <v>28</v>
      </c>
      <c r="N9" s="132" t="s">
        <v>29</v>
      </c>
      <c r="O9" s="132" t="s">
        <v>30</v>
      </c>
      <c r="P9" s="132" t="s">
        <v>31</v>
      </c>
      <c r="Q9" s="132" t="s">
        <v>32</v>
      </c>
      <c r="R9" s="132" t="s">
        <v>33</v>
      </c>
      <c r="S9" s="132" t="s">
        <v>34</v>
      </c>
      <c r="T9" s="132" t="s">
        <v>35</v>
      </c>
    </row>
    <row r="10" ht="18.0" customHeight="1">
      <c r="A10" s="133" t="s">
        <v>36</v>
      </c>
    </row>
    <row r="11" ht="18.0" customHeight="1">
      <c r="A11" s="134" t="s">
        <v>37</v>
      </c>
      <c r="B11" s="134" t="s">
        <v>38</v>
      </c>
      <c r="C11" s="134" t="s">
        <v>39</v>
      </c>
      <c r="D11" s="135">
        <v>950.0</v>
      </c>
      <c r="E11" s="136">
        <v>1075.0</v>
      </c>
      <c r="F11" s="136">
        <v>0.0</v>
      </c>
      <c r="G11" s="136">
        <v>0.0</v>
      </c>
      <c r="H11" s="136">
        <v>0.0</v>
      </c>
      <c r="I11" s="136">
        <v>1050.0</v>
      </c>
      <c r="J11" s="136">
        <v>0.0</v>
      </c>
      <c r="K11" s="136">
        <v>0.0</v>
      </c>
      <c r="L11" s="136">
        <v>0.0</v>
      </c>
      <c r="M11" s="136">
        <v>0.0</v>
      </c>
      <c r="N11" s="136">
        <v>0.0</v>
      </c>
      <c r="O11" s="136">
        <v>25.0</v>
      </c>
      <c r="P11" s="136">
        <v>0.0</v>
      </c>
      <c r="Q11" s="136">
        <v>0.0</v>
      </c>
      <c r="R11" s="136">
        <v>0.0</v>
      </c>
      <c r="S11" s="137">
        <v>45774.0</v>
      </c>
      <c r="T11" s="137">
        <v>46142.0</v>
      </c>
    </row>
    <row r="12" ht="18.0" customHeight="1">
      <c r="A12" s="134" t="s">
        <v>40</v>
      </c>
      <c r="B12" s="134" t="s">
        <v>38</v>
      </c>
      <c r="C12" s="134" t="s">
        <v>39</v>
      </c>
      <c r="D12" s="135">
        <v>950.0</v>
      </c>
      <c r="E12" s="136">
        <v>875.0</v>
      </c>
      <c r="F12" s="136">
        <v>0.75</v>
      </c>
      <c r="G12" s="136">
        <v>0.0</v>
      </c>
      <c r="H12" s="136">
        <v>0.0</v>
      </c>
      <c r="I12" s="136">
        <v>875.0</v>
      </c>
      <c r="J12" s="136">
        <v>0.0</v>
      </c>
      <c r="K12" s="136">
        <v>0.0</v>
      </c>
      <c r="L12" s="136">
        <v>0.0</v>
      </c>
      <c r="M12" s="136">
        <v>0.0</v>
      </c>
      <c r="N12" s="136">
        <v>0.0</v>
      </c>
      <c r="O12" s="136">
        <v>0.0</v>
      </c>
      <c r="P12" s="136">
        <v>0.0</v>
      </c>
      <c r="Q12" s="136">
        <v>0.0</v>
      </c>
      <c r="R12" s="136">
        <v>0.0</v>
      </c>
      <c r="S12" s="137">
        <v>44756.0</v>
      </c>
      <c r="T12" s="137">
        <v>46235.0</v>
      </c>
    </row>
    <row r="13" ht="18.0" customHeight="1">
      <c r="A13" s="134" t="s">
        <v>41</v>
      </c>
      <c r="B13" s="134" t="s">
        <v>38</v>
      </c>
      <c r="C13" s="134" t="s">
        <v>39</v>
      </c>
      <c r="D13" s="135">
        <v>950.0</v>
      </c>
      <c r="E13" s="136">
        <v>975.0</v>
      </c>
      <c r="F13" s="136">
        <v>0.0</v>
      </c>
      <c r="G13" s="136">
        <v>0.0</v>
      </c>
      <c r="H13" s="136">
        <v>0.0</v>
      </c>
      <c r="I13" s="136">
        <v>607.0</v>
      </c>
      <c r="J13" s="136">
        <v>368.0</v>
      </c>
      <c r="K13" s="136">
        <v>0.0</v>
      </c>
      <c r="L13" s="136">
        <v>0.0</v>
      </c>
      <c r="M13" s="136">
        <v>0.0</v>
      </c>
      <c r="N13" s="136">
        <v>0.0</v>
      </c>
      <c r="O13" s="136">
        <v>0.0</v>
      </c>
      <c r="P13" s="136">
        <v>0.0</v>
      </c>
      <c r="Q13" s="136">
        <v>0.0</v>
      </c>
      <c r="R13" s="136">
        <v>0.0</v>
      </c>
      <c r="S13" s="137">
        <v>44701.0</v>
      </c>
      <c r="T13" s="137">
        <v>46326.0</v>
      </c>
    </row>
    <row r="14" ht="18.0" customHeight="1">
      <c r="A14" s="134" t="s">
        <v>42</v>
      </c>
      <c r="B14" s="134" t="s">
        <v>38</v>
      </c>
      <c r="C14" s="134" t="s">
        <v>47</v>
      </c>
      <c r="D14" s="135">
        <v>950.0</v>
      </c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7"/>
      <c r="T14" s="137"/>
    </row>
    <row r="15" ht="18.0" customHeight="1">
      <c r="A15" s="138" t="s">
        <v>43</v>
      </c>
      <c r="B15" s="138"/>
      <c r="C15" s="138" t="s">
        <v>313</v>
      </c>
      <c r="D15" s="139">
        <v>3800.0</v>
      </c>
      <c r="E15" s="140">
        <v>2925.0</v>
      </c>
      <c r="F15" s="140">
        <v>0.75</v>
      </c>
      <c r="G15" s="140">
        <v>0.0</v>
      </c>
      <c r="H15" s="140">
        <v>0.0</v>
      </c>
      <c r="I15" s="140">
        <v>2532.0</v>
      </c>
      <c r="J15" s="140">
        <v>368.0</v>
      </c>
      <c r="K15" s="140">
        <v>0.0</v>
      </c>
      <c r="L15" s="140">
        <v>0.0</v>
      </c>
      <c r="M15" s="140">
        <v>0.0</v>
      </c>
      <c r="N15" s="140">
        <v>0.0</v>
      </c>
      <c r="O15" s="140">
        <v>25.0</v>
      </c>
      <c r="P15" s="140">
        <v>0.0</v>
      </c>
      <c r="Q15" s="140">
        <v>0.0</v>
      </c>
      <c r="R15" s="140">
        <v>0.0</v>
      </c>
      <c r="S15" s="141"/>
      <c r="T15" s="141"/>
    </row>
    <row r="16" ht="18.0" customHeight="1">
      <c r="A16" s="133" t="s">
        <v>45</v>
      </c>
    </row>
    <row r="17" ht="18.0" customHeight="1">
      <c r="A17" s="134" t="s">
        <v>46</v>
      </c>
      <c r="B17" s="134" t="s">
        <v>38</v>
      </c>
      <c r="C17" s="134" t="s">
        <v>47</v>
      </c>
      <c r="D17" s="135">
        <v>690.0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7"/>
      <c r="T17" s="137"/>
    </row>
    <row r="18" ht="18.0" customHeight="1">
      <c r="A18" s="134" t="s">
        <v>48</v>
      </c>
      <c r="B18" s="134" t="s">
        <v>38</v>
      </c>
      <c r="C18" s="134" t="s">
        <v>47</v>
      </c>
      <c r="D18" s="135">
        <v>700.0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7"/>
      <c r="T18" s="137"/>
    </row>
    <row r="19" ht="18.0" customHeight="1">
      <c r="A19" s="134" t="s">
        <v>49</v>
      </c>
      <c r="B19" s="134" t="s">
        <v>38</v>
      </c>
      <c r="C19" s="134" t="s">
        <v>39</v>
      </c>
      <c r="D19" s="135">
        <v>700.0</v>
      </c>
      <c r="E19" s="136">
        <v>850.0</v>
      </c>
      <c r="F19" s="136">
        <v>0.0</v>
      </c>
      <c r="G19" s="136">
        <v>0.0</v>
      </c>
      <c r="H19" s="136">
        <v>0.0</v>
      </c>
      <c r="I19" s="136">
        <v>850.0</v>
      </c>
      <c r="J19" s="136">
        <v>0.0</v>
      </c>
      <c r="K19" s="136">
        <v>0.0</v>
      </c>
      <c r="L19" s="136">
        <v>0.0</v>
      </c>
      <c r="M19" s="136">
        <v>0.0</v>
      </c>
      <c r="N19" s="136">
        <v>0.0</v>
      </c>
      <c r="O19" s="136">
        <v>0.0</v>
      </c>
      <c r="P19" s="136">
        <v>0.0</v>
      </c>
      <c r="Q19" s="136">
        <v>0.0</v>
      </c>
      <c r="R19" s="136">
        <v>0.0</v>
      </c>
      <c r="S19" s="137">
        <v>45485.0</v>
      </c>
      <c r="T19" s="137">
        <v>46173.0</v>
      </c>
    </row>
    <row r="20" ht="18.0" customHeight="1">
      <c r="A20" s="134" t="s">
        <v>50</v>
      </c>
      <c r="B20" s="134" t="s">
        <v>38</v>
      </c>
      <c r="C20" s="134" t="s">
        <v>39</v>
      </c>
      <c r="D20" s="135">
        <v>700.0</v>
      </c>
      <c r="E20" s="136">
        <v>950.0</v>
      </c>
      <c r="F20" s="136">
        <v>0.0</v>
      </c>
      <c r="G20" s="136">
        <v>0.0</v>
      </c>
      <c r="H20" s="136">
        <v>0.0</v>
      </c>
      <c r="I20" s="136">
        <v>390.0</v>
      </c>
      <c r="J20" s="136">
        <v>560.0</v>
      </c>
      <c r="K20" s="136">
        <v>0.0</v>
      </c>
      <c r="L20" s="136">
        <v>0.0</v>
      </c>
      <c r="M20" s="136">
        <v>0.0</v>
      </c>
      <c r="N20" s="136">
        <v>0.0</v>
      </c>
      <c r="O20" s="136">
        <v>0.0</v>
      </c>
      <c r="P20" s="136">
        <v>0.0</v>
      </c>
      <c r="Q20" s="136">
        <v>0.0</v>
      </c>
      <c r="R20" s="136">
        <v>0.0</v>
      </c>
      <c r="S20" s="137">
        <v>45377.0</v>
      </c>
      <c r="T20" s="137">
        <v>46106.0</v>
      </c>
    </row>
    <row r="21" ht="18.0" customHeight="1">
      <c r="A21" s="134" t="s">
        <v>51</v>
      </c>
      <c r="B21" s="134" t="s">
        <v>38</v>
      </c>
      <c r="C21" s="134" t="s">
        <v>39</v>
      </c>
      <c r="D21" s="135">
        <v>700.0</v>
      </c>
      <c r="E21" s="136">
        <v>925.0</v>
      </c>
      <c r="F21" s="136">
        <v>0.0</v>
      </c>
      <c r="G21" s="136">
        <v>0.0</v>
      </c>
      <c r="H21" s="136">
        <v>0.0</v>
      </c>
      <c r="I21" s="136">
        <v>900.0</v>
      </c>
      <c r="J21" s="136">
        <v>0.0</v>
      </c>
      <c r="K21" s="136">
        <v>0.0</v>
      </c>
      <c r="L21" s="136">
        <v>0.0</v>
      </c>
      <c r="M21" s="136">
        <v>0.0</v>
      </c>
      <c r="N21" s="136">
        <v>0.0</v>
      </c>
      <c r="O21" s="136">
        <v>25.0</v>
      </c>
      <c r="P21" s="136">
        <v>0.0</v>
      </c>
      <c r="Q21" s="136">
        <v>0.0</v>
      </c>
      <c r="R21" s="136">
        <v>0.0</v>
      </c>
      <c r="S21" s="137">
        <v>45348.0</v>
      </c>
      <c r="T21" s="137">
        <v>46443.0</v>
      </c>
    </row>
    <row r="22" ht="18.0" customHeight="1">
      <c r="A22" s="134" t="s">
        <v>52</v>
      </c>
      <c r="B22" s="134" t="s">
        <v>38</v>
      </c>
      <c r="C22" s="134" t="s">
        <v>39</v>
      </c>
      <c r="D22" s="135">
        <v>700.0</v>
      </c>
      <c r="E22" s="136">
        <v>950.0</v>
      </c>
      <c r="F22" s="136">
        <v>0.0</v>
      </c>
      <c r="G22" s="136">
        <v>0.0</v>
      </c>
      <c r="H22" s="136">
        <v>0.0</v>
      </c>
      <c r="I22" s="136">
        <v>925.0</v>
      </c>
      <c r="J22" s="136">
        <v>0.0</v>
      </c>
      <c r="K22" s="136">
        <v>0.0</v>
      </c>
      <c r="L22" s="136">
        <v>0.0</v>
      </c>
      <c r="M22" s="136">
        <v>0.0</v>
      </c>
      <c r="N22" s="136">
        <v>0.0</v>
      </c>
      <c r="O22" s="136">
        <v>25.0</v>
      </c>
      <c r="P22" s="136">
        <v>0.0</v>
      </c>
      <c r="Q22" s="136">
        <v>0.0</v>
      </c>
      <c r="R22" s="136">
        <v>0.0</v>
      </c>
      <c r="S22" s="137">
        <v>45962.0</v>
      </c>
      <c r="T22" s="137">
        <v>46326.0</v>
      </c>
    </row>
    <row r="23" ht="18.0" customHeight="1">
      <c r="A23" s="138" t="s">
        <v>53</v>
      </c>
      <c r="B23" s="138"/>
      <c r="C23" s="138" t="s">
        <v>54</v>
      </c>
      <c r="D23" s="139">
        <v>4190.0</v>
      </c>
      <c r="E23" s="140">
        <v>3675.0</v>
      </c>
      <c r="F23" s="140">
        <v>0.0</v>
      </c>
      <c r="G23" s="140">
        <v>0.0</v>
      </c>
      <c r="H23" s="140">
        <v>0.0</v>
      </c>
      <c r="I23" s="140">
        <v>3065.0</v>
      </c>
      <c r="J23" s="140">
        <v>560.0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50.0</v>
      </c>
      <c r="P23" s="140">
        <v>0.0</v>
      </c>
      <c r="Q23" s="140">
        <v>0.0</v>
      </c>
      <c r="R23" s="140">
        <v>0.0</v>
      </c>
      <c r="S23" s="141"/>
      <c r="T23" s="141"/>
    </row>
    <row r="24" ht="18.0" customHeight="1">
      <c r="A24" s="133" t="s">
        <v>55</v>
      </c>
    </row>
    <row r="25" ht="18.0" customHeight="1">
      <c r="A25" s="134" t="s">
        <v>46</v>
      </c>
      <c r="B25" s="134" t="s">
        <v>56</v>
      </c>
      <c r="C25" s="134" t="s">
        <v>297</v>
      </c>
      <c r="D25" s="135">
        <v>485.0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7"/>
      <c r="T25" s="137"/>
    </row>
    <row r="26" ht="18.0" customHeight="1">
      <c r="A26" s="134" t="s">
        <v>49</v>
      </c>
      <c r="B26" s="134" t="s">
        <v>56</v>
      </c>
      <c r="C26" s="134" t="s">
        <v>39</v>
      </c>
      <c r="D26" s="135">
        <v>621.0</v>
      </c>
      <c r="E26" s="136">
        <v>725.0</v>
      </c>
      <c r="F26" s="136">
        <v>0.0</v>
      </c>
      <c r="G26" s="136">
        <v>0.0</v>
      </c>
      <c r="H26" s="136">
        <v>0.0</v>
      </c>
      <c r="I26" s="136">
        <v>725.0</v>
      </c>
      <c r="J26" s="136">
        <v>0.0</v>
      </c>
      <c r="K26" s="136">
        <v>0.0</v>
      </c>
      <c r="L26" s="136">
        <v>0.0</v>
      </c>
      <c r="M26" s="136">
        <v>0.0</v>
      </c>
      <c r="N26" s="136">
        <v>0.0</v>
      </c>
      <c r="O26" s="136">
        <v>0.0</v>
      </c>
      <c r="P26" s="136">
        <v>0.0</v>
      </c>
      <c r="Q26" s="136">
        <v>0.0</v>
      </c>
      <c r="R26" s="136">
        <v>0.0</v>
      </c>
      <c r="S26" s="137">
        <v>45505.0</v>
      </c>
      <c r="T26" s="137">
        <v>46233.0</v>
      </c>
    </row>
    <row r="27" ht="18.0" customHeight="1">
      <c r="A27" s="134" t="s">
        <v>50</v>
      </c>
      <c r="B27" s="134" t="s">
        <v>56</v>
      </c>
      <c r="C27" s="134" t="s">
        <v>39</v>
      </c>
      <c r="D27" s="135">
        <v>621.0</v>
      </c>
      <c r="E27" s="136">
        <v>725.0</v>
      </c>
      <c r="F27" s="136">
        <v>0.0</v>
      </c>
      <c r="G27" s="136">
        <v>0.0</v>
      </c>
      <c r="H27" s="136">
        <v>0.0</v>
      </c>
      <c r="I27" s="136">
        <v>725.0</v>
      </c>
      <c r="J27" s="136">
        <v>0.0</v>
      </c>
      <c r="K27" s="136">
        <v>0.0</v>
      </c>
      <c r="L27" s="136">
        <v>0.0</v>
      </c>
      <c r="M27" s="136">
        <v>0.0</v>
      </c>
      <c r="N27" s="136">
        <v>0.0</v>
      </c>
      <c r="O27" s="136">
        <v>0.0</v>
      </c>
      <c r="P27" s="136">
        <v>0.0</v>
      </c>
      <c r="Q27" s="136">
        <v>0.0</v>
      </c>
      <c r="R27" s="136">
        <v>0.0</v>
      </c>
      <c r="S27" s="137">
        <v>45502.0</v>
      </c>
      <c r="T27" s="137">
        <v>46234.0</v>
      </c>
    </row>
    <row r="28" ht="18.0" customHeight="1">
      <c r="A28" s="134" t="s">
        <v>51</v>
      </c>
      <c r="B28" s="134" t="s">
        <v>56</v>
      </c>
      <c r="C28" s="134" t="s">
        <v>178</v>
      </c>
      <c r="D28" s="135">
        <v>621.0</v>
      </c>
      <c r="E28" s="136">
        <v>725.0</v>
      </c>
      <c r="F28" s="136">
        <v>2360.25</v>
      </c>
      <c r="G28" s="136">
        <v>0.0</v>
      </c>
      <c r="H28" s="136">
        <v>0.0</v>
      </c>
      <c r="I28" s="136">
        <v>725.0</v>
      </c>
      <c r="J28" s="136">
        <v>0.0</v>
      </c>
      <c r="K28" s="136">
        <v>0.0</v>
      </c>
      <c r="L28" s="136">
        <v>0.0</v>
      </c>
      <c r="M28" s="136">
        <v>0.0</v>
      </c>
      <c r="N28" s="136">
        <v>0.0</v>
      </c>
      <c r="O28" s="136">
        <v>0.0</v>
      </c>
      <c r="P28" s="136">
        <v>0.0</v>
      </c>
      <c r="Q28" s="136">
        <v>0.0</v>
      </c>
      <c r="R28" s="136">
        <v>0.0</v>
      </c>
      <c r="S28" s="137">
        <v>45509.0</v>
      </c>
      <c r="T28" s="137">
        <v>46233.0</v>
      </c>
    </row>
    <row r="29" ht="18.0" customHeight="1">
      <c r="A29" s="134" t="s">
        <v>52</v>
      </c>
      <c r="B29" s="134" t="s">
        <v>56</v>
      </c>
      <c r="C29" s="134" t="s">
        <v>39</v>
      </c>
      <c r="D29" s="135">
        <v>621.0</v>
      </c>
      <c r="E29" s="136">
        <v>750.0</v>
      </c>
      <c r="F29" s="136">
        <v>0.0</v>
      </c>
      <c r="G29" s="136">
        <v>0.0</v>
      </c>
      <c r="H29" s="136">
        <v>0.0</v>
      </c>
      <c r="I29" s="136">
        <v>750.0</v>
      </c>
      <c r="J29" s="136">
        <v>0.0</v>
      </c>
      <c r="K29" s="136">
        <v>0.0</v>
      </c>
      <c r="L29" s="136">
        <v>0.0</v>
      </c>
      <c r="M29" s="136">
        <v>0.0</v>
      </c>
      <c r="N29" s="136">
        <v>0.0</v>
      </c>
      <c r="O29" s="136">
        <v>0.0</v>
      </c>
      <c r="P29" s="136">
        <v>0.0</v>
      </c>
      <c r="Q29" s="136">
        <v>0.0</v>
      </c>
      <c r="R29" s="136">
        <v>0.0</v>
      </c>
      <c r="S29" s="137">
        <v>45702.0</v>
      </c>
      <c r="T29" s="137">
        <v>46431.0</v>
      </c>
    </row>
    <row r="30" ht="18.0" customHeight="1">
      <c r="A30" s="138" t="s">
        <v>57</v>
      </c>
      <c r="B30" s="138"/>
      <c r="C30" s="138" t="s">
        <v>288</v>
      </c>
      <c r="D30" s="139">
        <v>2969.0</v>
      </c>
      <c r="E30" s="140">
        <v>2925.0</v>
      </c>
      <c r="F30" s="140">
        <v>2360.25</v>
      </c>
      <c r="G30" s="140">
        <v>0.0</v>
      </c>
      <c r="H30" s="140">
        <v>0.0</v>
      </c>
      <c r="I30" s="140">
        <v>2925.0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0.0</v>
      </c>
      <c r="R30" s="140">
        <v>0.0</v>
      </c>
      <c r="S30" s="141"/>
      <c r="T30" s="141"/>
    </row>
    <row r="31" ht="18.0" customHeight="1">
      <c r="A31" s="133" t="s">
        <v>58</v>
      </c>
    </row>
    <row r="32" ht="18.0" customHeight="1">
      <c r="A32" s="134" t="s">
        <v>59</v>
      </c>
      <c r="B32" s="134" t="s">
        <v>38</v>
      </c>
      <c r="C32" s="134" t="s">
        <v>39</v>
      </c>
      <c r="D32" s="135">
        <v>900.0</v>
      </c>
      <c r="E32" s="136">
        <v>185.0</v>
      </c>
      <c r="F32" s="136">
        <v>0.0</v>
      </c>
      <c r="G32" s="136">
        <v>0.0</v>
      </c>
      <c r="H32" s="136">
        <v>0.0</v>
      </c>
      <c r="I32" s="136">
        <v>185.0</v>
      </c>
      <c r="J32" s="136">
        <v>0.0</v>
      </c>
      <c r="K32" s="136">
        <v>0.0</v>
      </c>
      <c r="L32" s="136">
        <v>0.0</v>
      </c>
      <c r="M32" s="136">
        <v>0.0</v>
      </c>
      <c r="N32" s="136">
        <v>0.0</v>
      </c>
      <c r="O32" s="136">
        <v>0.0</v>
      </c>
      <c r="P32" s="136">
        <v>0.0</v>
      </c>
      <c r="Q32" s="136">
        <v>0.0</v>
      </c>
      <c r="R32" s="136">
        <v>0.0</v>
      </c>
      <c r="S32" s="137">
        <v>44896.0</v>
      </c>
      <c r="T32" s="137">
        <v>46387.0</v>
      </c>
    </row>
    <row r="33" ht="18.0" customHeight="1">
      <c r="A33" s="134" t="s">
        <v>60</v>
      </c>
      <c r="B33" s="134" t="s">
        <v>56</v>
      </c>
      <c r="C33" s="134" t="s">
        <v>39</v>
      </c>
      <c r="D33" s="135">
        <v>600.0</v>
      </c>
      <c r="E33" s="136">
        <v>650.0</v>
      </c>
      <c r="F33" s="136">
        <v>-10.99</v>
      </c>
      <c r="G33" s="136">
        <v>0.0</v>
      </c>
      <c r="H33" s="136">
        <v>0.0</v>
      </c>
      <c r="I33" s="136">
        <v>650.0</v>
      </c>
      <c r="J33" s="136">
        <v>0.0</v>
      </c>
      <c r="K33" s="136">
        <v>0.0</v>
      </c>
      <c r="L33" s="136">
        <v>0.0</v>
      </c>
      <c r="M33" s="136">
        <v>0.0</v>
      </c>
      <c r="N33" s="136">
        <v>0.0</v>
      </c>
      <c r="O33" s="136">
        <v>0.0</v>
      </c>
      <c r="P33" s="136">
        <v>0.0</v>
      </c>
      <c r="Q33" s="136">
        <v>0.0</v>
      </c>
      <c r="R33" s="136">
        <v>0.0</v>
      </c>
      <c r="S33" s="137">
        <v>45852.0</v>
      </c>
      <c r="T33" s="137">
        <v>46216.0</v>
      </c>
    </row>
    <row r="34" ht="18.0" customHeight="1">
      <c r="A34" s="138" t="s">
        <v>61</v>
      </c>
      <c r="B34" s="138"/>
      <c r="C34" s="138" t="s">
        <v>44</v>
      </c>
      <c r="D34" s="139">
        <v>1500.0</v>
      </c>
      <c r="E34" s="140">
        <v>835.0</v>
      </c>
      <c r="F34" s="140">
        <v>-10.99</v>
      </c>
      <c r="G34" s="140">
        <v>0.0</v>
      </c>
      <c r="H34" s="140">
        <v>0.0</v>
      </c>
      <c r="I34" s="140">
        <v>835.0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1"/>
      <c r="T34" s="141"/>
    </row>
    <row r="35" ht="18.0" customHeight="1">
      <c r="A35" s="133" t="s">
        <v>62</v>
      </c>
    </row>
    <row r="36" ht="18.0" customHeight="1">
      <c r="A36" s="134" t="s">
        <v>37</v>
      </c>
      <c r="B36" s="134" t="s">
        <v>63</v>
      </c>
      <c r="C36" s="134" t="s">
        <v>39</v>
      </c>
      <c r="D36" s="135">
        <v>1150.0</v>
      </c>
      <c r="E36" s="136">
        <v>1200.0</v>
      </c>
      <c r="F36" s="136">
        <v>0.0</v>
      </c>
      <c r="G36" s="136">
        <v>0.0</v>
      </c>
      <c r="H36" s="136">
        <v>0.0</v>
      </c>
      <c r="I36" s="136">
        <v>1200.0</v>
      </c>
      <c r="J36" s="136">
        <v>0.0</v>
      </c>
      <c r="K36" s="136">
        <v>0.0</v>
      </c>
      <c r="L36" s="136">
        <v>0.0</v>
      </c>
      <c r="M36" s="136">
        <v>0.0</v>
      </c>
      <c r="N36" s="136">
        <v>0.0</v>
      </c>
      <c r="O36" s="136">
        <v>0.0</v>
      </c>
      <c r="P36" s="136">
        <v>0.0</v>
      </c>
      <c r="Q36" s="136">
        <v>0.0</v>
      </c>
      <c r="R36" s="136">
        <v>0.0</v>
      </c>
      <c r="S36" s="137">
        <v>45061.0</v>
      </c>
      <c r="T36" s="137">
        <v>46173.0</v>
      </c>
    </row>
    <row r="37" ht="18.0" customHeight="1">
      <c r="A37" s="134" t="s">
        <v>40</v>
      </c>
      <c r="B37" s="134" t="s">
        <v>63</v>
      </c>
      <c r="C37" s="134" t="s">
        <v>39</v>
      </c>
      <c r="D37" s="135">
        <v>1150.0</v>
      </c>
      <c r="E37" s="136">
        <v>1200.0</v>
      </c>
      <c r="F37" s="136">
        <v>-1200.0</v>
      </c>
      <c r="G37" s="136">
        <v>0.0</v>
      </c>
      <c r="H37" s="136">
        <v>0.0</v>
      </c>
      <c r="I37" s="136">
        <v>1200.0</v>
      </c>
      <c r="J37" s="136">
        <v>0.0</v>
      </c>
      <c r="K37" s="136">
        <v>0.0</v>
      </c>
      <c r="L37" s="136">
        <v>0.0</v>
      </c>
      <c r="M37" s="136">
        <v>0.0</v>
      </c>
      <c r="N37" s="136">
        <v>0.0</v>
      </c>
      <c r="O37" s="136">
        <v>0.0</v>
      </c>
      <c r="P37" s="136">
        <v>0.0</v>
      </c>
      <c r="Q37" s="136">
        <v>0.0</v>
      </c>
      <c r="R37" s="136">
        <v>0.0</v>
      </c>
      <c r="S37" s="137">
        <v>45087.0</v>
      </c>
      <c r="T37" s="137">
        <v>46204.0</v>
      </c>
    </row>
    <row r="38" ht="18.0" customHeight="1">
      <c r="A38" s="138" t="s">
        <v>61</v>
      </c>
      <c r="B38" s="138"/>
      <c r="C38" s="138" t="s">
        <v>44</v>
      </c>
      <c r="D38" s="139">
        <v>2300.0</v>
      </c>
      <c r="E38" s="140">
        <v>2400.0</v>
      </c>
      <c r="F38" s="140">
        <v>-1200.0</v>
      </c>
      <c r="G38" s="140">
        <v>0.0</v>
      </c>
      <c r="H38" s="140">
        <v>0.0</v>
      </c>
      <c r="I38" s="140">
        <v>2400.0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1"/>
      <c r="T38" s="141"/>
    </row>
    <row r="39" ht="18.0" customHeight="1">
      <c r="A39" s="133" t="s">
        <v>64</v>
      </c>
    </row>
    <row r="40" ht="18.0" customHeight="1">
      <c r="A40" s="134" t="s">
        <v>46</v>
      </c>
      <c r="B40" s="134" t="s">
        <v>38</v>
      </c>
      <c r="C40" s="134" t="s">
        <v>39</v>
      </c>
      <c r="D40" s="135">
        <v>950.0</v>
      </c>
      <c r="E40" s="136">
        <v>850.0</v>
      </c>
      <c r="F40" s="136">
        <v>0.0</v>
      </c>
      <c r="G40" s="136">
        <v>0.0</v>
      </c>
      <c r="H40" s="136">
        <v>0.0</v>
      </c>
      <c r="I40" s="136">
        <v>850.0</v>
      </c>
      <c r="J40" s="136">
        <v>0.0</v>
      </c>
      <c r="K40" s="136">
        <v>0.0</v>
      </c>
      <c r="L40" s="136">
        <v>0.0</v>
      </c>
      <c r="M40" s="136">
        <v>0.0</v>
      </c>
      <c r="N40" s="136">
        <v>0.0</v>
      </c>
      <c r="O40" s="136">
        <v>0.0</v>
      </c>
      <c r="P40" s="136">
        <v>0.0</v>
      </c>
      <c r="Q40" s="136">
        <v>0.0</v>
      </c>
      <c r="R40" s="136">
        <v>0.0</v>
      </c>
      <c r="S40" s="137">
        <v>45047.0</v>
      </c>
      <c r="T40" s="137">
        <v>46142.0</v>
      </c>
    </row>
    <row r="41" ht="18.0" customHeight="1">
      <c r="A41" s="134" t="s">
        <v>48</v>
      </c>
      <c r="B41" s="134" t="s">
        <v>56</v>
      </c>
      <c r="C41" s="134" t="s">
        <v>39</v>
      </c>
      <c r="D41" s="135">
        <v>700.0</v>
      </c>
      <c r="E41" s="136">
        <v>800.0</v>
      </c>
      <c r="F41" s="136">
        <v>0.0</v>
      </c>
      <c r="G41" s="136">
        <v>0.0</v>
      </c>
      <c r="H41" s="136">
        <v>0.0</v>
      </c>
      <c r="I41" s="136">
        <v>800.0</v>
      </c>
      <c r="J41" s="136">
        <v>0.0</v>
      </c>
      <c r="K41" s="136">
        <v>0.0</v>
      </c>
      <c r="L41" s="136">
        <v>0.0</v>
      </c>
      <c r="M41" s="136">
        <v>0.0</v>
      </c>
      <c r="N41" s="136">
        <v>0.0</v>
      </c>
      <c r="O41" s="136">
        <v>0.0</v>
      </c>
      <c r="P41" s="136">
        <v>0.0</v>
      </c>
      <c r="Q41" s="136">
        <v>0.0</v>
      </c>
      <c r="R41" s="136">
        <v>0.0</v>
      </c>
      <c r="S41" s="137">
        <v>45775.0</v>
      </c>
      <c r="T41" s="137">
        <v>46139.0</v>
      </c>
    </row>
    <row r="42" ht="18.0" customHeight="1">
      <c r="A42" s="134" t="s">
        <v>65</v>
      </c>
      <c r="B42" s="134" t="s">
        <v>38</v>
      </c>
      <c r="C42" s="134" t="s">
        <v>39</v>
      </c>
      <c r="D42" s="135">
        <v>950.0</v>
      </c>
      <c r="E42" s="136">
        <v>1025.0</v>
      </c>
      <c r="F42" s="136">
        <v>1226.25</v>
      </c>
      <c r="G42" s="136">
        <v>0.0</v>
      </c>
      <c r="H42" s="136">
        <v>0.0</v>
      </c>
      <c r="I42" s="136">
        <v>1025.0</v>
      </c>
      <c r="J42" s="136">
        <v>0.0</v>
      </c>
      <c r="K42" s="136">
        <v>0.0</v>
      </c>
      <c r="L42" s="136">
        <v>0.0</v>
      </c>
      <c r="M42" s="136">
        <v>0.0</v>
      </c>
      <c r="N42" s="136">
        <v>0.0</v>
      </c>
      <c r="O42" s="136">
        <v>0.0</v>
      </c>
      <c r="P42" s="136">
        <v>0.0</v>
      </c>
      <c r="Q42" s="136">
        <v>0.0</v>
      </c>
      <c r="R42" s="136">
        <v>0.0</v>
      </c>
      <c r="S42" s="137">
        <v>45627.0</v>
      </c>
      <c r="T42" s="137">
        <v>46356.0</v>
      </c>
    </row>
    <row r="43" ht="18.0" customHeight="1">
      <c r="A43" s="134" t="s">
        <v>66</v>
      </c>
      <c r="B43" s="134" t="s">
        <v>56</v>
      </c>
      <c r="C43" s="134" t="s">
        <v>39</v>
      </c>
      <c r="D43" s="135">
        <v>750.0</v>
      </c>
      <c r="E43" s="136">
        <v>850.0</v>
      </c>
      <c r="F43" s="136">
        <v>0.0</v>
      </c>
      <c r="G43" s="136">
        <v>0.0</v>
      </c>
      <c r="H43" s="136">
        <v>0.0</v>
      </c>
      <c r="I43" s="136">
        <v>850.0</v>
      </c>
      <c r="J43" s="136">
        <v>0.0</v>
      </c>
      <c r="K43" s="136">
        <v>0.0</v>
      </c>
      <c r="L43" s="136">
        <v>0.0</v>
      </c>
      <c r="M43" s="136">
        <v>0.0</v>
      </c>
      <c r="N43" s="136">
        <v>0.0</v>
      </c>
      <c r="O43" s="136">
        <v>0.0</v>
      </c>
      <c r="P43" s="136">
        <v>0.0</v>
      </c>
      <c r="Q43" s="136">
        <v>0.0</v>
      </c>
      <c r="R43" s="136">
        <v>0.0</v>
      </c>
      <c r="S43" s="137">
        <v>45671.0</v>
      </c>
      <c r="T43" s="137">
        <v>46400.0</v>
      </c>
    </row>
    <row r="44" ht="18.0" customHeight="1">
      <c r="A44" s="134" t="s">
        <v>67</v>
      </c>
      <c r="B44" s="134" t="s">
        <v>38</v>
      </c>
      <c r="C44" s="134" t="s">
        <v>39</v>
      </c>
      <c r="D44" s="135">
        <v>950.0</v>
      </c>
      <c r="E44" s="136">
        <v>725.0</v>
      </c>
      <c r="F44" s="136">
        <v>0.0</v>
      </c>
      <c r="G44" s="136">
        <v>0.0</v>
      </c>
      <c r="H44" s="136">
        <v>0.0</v>
      </c>
      <c r="I44" s="136">
        <v>725.0</v>
      </c>
      <c r="J44" s="136">
        <v>0.0</v>
      </c>
      <c r="K44" s="136">
        <v>0.0</v>
      </c>
      <c r="L44" s="136">
        <v>0.0</v>
      </c>
      <c r="M44" s="136">
        <v>0.0</v>
      </c>
      <c r="N44" s="136">
        <v>0.0</v>
      </c>
      <c r="O44" s="136">
        <v>0.0</v>
      </c>
      <c r="P44" s="136">
        <v>0.0</v>
      </c>
      <c r="Q44" s="136">
        <v>0.0</v>
      </c>
      <c r="R44" s="136">
        <v>0.0</v>
      </c>
      <c r="S44" s="137">
        <v>46023.0</v>
      </c>
      <c r="T44" s="137">
        <v>46568.0</v>
      </c>
    </row>
    <row r="45" ht="18.0" customHeight="1">
      <c r="A45" s="134" t="s">
        <v>68</v>
      </c>
      <c r="B45" s="134" t="s">
        <v>56</v>
      </c>
      <c r="C45" s="134" t="s">
        <v>39</v>
      </c>
      <c r="D45" s="135">
        <v>850.0</v>
      </c>
      <c r="E45" s="136">
        <v>925.0</v>
      </c>
      <c r="F45" s="136">
        <v>0.0</v>
      </c>
      <c r="G45" s="136">
        <v>0.0</v>
      </c>
      <c r="H45" s="136">
        <v>0.0</v>
      </c>
      <c r="I45" s="136">
        <v>925.0</v>
      </c>
      <c r="J45" s="136">
        <v>0.0</v>
      </c>
      <c r="K45" s="136">
        <v>0.0</v>
      </c>
      <c r="L45" s="136">
        <v>0.0</v>
      </c>
      <c r="M45" s="136">
        <v>0.0</v>
      </c>
      <c r="N45" s="136">
        <v>0.0</v>
      </c>
      <c r="O45" s="136">
        <v>0.0</v>
      </c>
      <c r="P45" s="136">
        <v>0.0</v>
      </c>
      <c r="Q45" s="136">
        <v>0.0</v>
      </c>
      <c r="R45" s="136">
        <v>0.0</v>
      </c>
      <c r="S45" s="137">
        <v>45047.0</v>
      </c>
      <c r="T45" s="137">
        <v>46203.0</v>
      </c>
    </row>
    <row r="46" ht="18.0" customHeight="1">
      <c r="A46" s="134" t="s">
        <v>69</v>
      </c>
      <c r="B46" s="134" t="s">
        <v>38</v>
      </c>
      <c r="C46" s="134" t="s">
        <v>39</v>
      </c>
      <c r="D46" s="135">
        <v>950.0</v>
      </c>
      <c r="E46" s="136">
        <v>1025.0</v>
      </c>
      <c r="F46" s="136">
        <v>2452.5</v>
      </c>
      <c r="G46" s="136">
        <v>0.0</v>
      </c>
      <c r="H46" s="136">
        <v>0.0</v>
      </c>
      <c r="I46" s="136">
        <v>1025.0</v>
      </c>
      <c r="J46" s="136">
        <v>0.0</v>
      </c>
      <c r="K46" s="136">
        <v>0.0</v>
      </c>
      <c r="L46" s="136">
        <v>0.0</v>
      </c>
      <c r="M46" s="136">
        <v>0.0</v>
      </c>
      <c r="N46" s="136">
        <v>0.0</v>
      </c>
      <c r="O46" s="136">
        <v>0.0</v>
      </c>
      <c r="P46" s="136">
        <v>0.0</v>
      </c>
      <c r="Q46" s="136">
        <v>0.0</v>
      </c>
      <c r="R46" s="136">
        <v>0.0</v>
      </c>
      <c r="S46" s="137">
        <v>45645.0</v>
      </c>
      <c r="T46" s="137">
        <v>46568.0</v>
      </c>
    </row>
    <row r="47" ht="18.0" customHeight="1">
      <c r="A47" s="134" t="s">
        <v>70</v>
      </c>
      <c r="B47" s="134" t="s">
        <v>56</v>
      </c>
      <c r="C47" s="134" t="s">
        <v>39</v>
      </c>
      <c r="D47" s="135">
        <v>700.0</v>
      </c>
      <c r="E47" s="136">
        <v>800.0</v>
      </c>
      <c r="F47" s="136">
        <v>0.0</v>
      </c>
      <c r="G47" s="136">
        <v>0.0</v>
      </c>
      <c r="H47" s="136">
        <v>0.0</v>
      </c>
      <c r="I47" s="136">
        <v>800.0</v>
      </c>
      <c r="J47" s="136">
        <v>0.0</v>
      </c>
      <c r="K47" s="136">
        <v>0.0</v>
      </c>
      <c r="L47" s="136">
        <v>0.0</v>
      </c>
      <c r="M47" s="136">
        <v>0.0</v>
      </c>
      <c r="N47" s="136">
        <v>0.0</v>
      </c>
      <c r="O47" s="136">
        <v>0.0</v>
      </c>
      <c r="P47" s="136">
        <v>0.0</v>
      </c>
      <c r="Q47" s="136">
        <v>0.0</v>
      </c>
      <c r="R47" s="136">
        <v>0.0</v>
      </c>
      <c r="S47" s="137">
        <v>45597.0</v>
      </c>
      <c r="T47" s="137">
        <v>46203.0</v>
      </c>
    </row>
    <row r="48" ht="18.0" customHeight="1">
      <c r="A48" s="134" t="s">
        <v>71</v>
      </c>
      <c r="B48" s="134" t="s">
        <v>38</v>
      </c>
      <c r="C48" s="134" t="s">
        <v>39</v>
      </c>
      <c r="D48" s="135">
        <v>950.0</v>
      </c>
      <c r="E48" s="136">
        <v>1025.0</v>
      </c>
      <c r="F48" s="136">
        <v>0.0</v>
      </c>
      <c r="G48" s="136">
        <v>0.0</v>
      </c>
      <c r="H48" s="136">
        <v>0.0</v>
      </c>
      <c r="I48" s="136">
        <v>1025.0</v>
      </c>
      <c r="J48" s="136">
        <v>0.0</v>
      </c>
      <c r="K48" s="136">
        <v>0.0</v>
      </c>
      <c r="L48" s="136">
        <v>0.0</v>
      </c>
      <c r="M48" s="136">
        <v>0.0</v>
      </c>
      <c r="N48" s="136">
        <v>0.0</v>
      </c>
      <c r="O48" s="136">
        <v>0.0</v>
      </c>
      <c r="P48" s="136">
        <v>0.0</v>
      </c>
      <c r="Q48" s="136">
        <v>0.0</v>
      </c>
      <c r="R48" s="136">
        <v>0.0</v>
      </c>
      <c r="S48" s="137">
        <v>45590.0</v>
      </c>
      <c r="T48" s="137">
        <v>46418.0</v>
      </c>
    </row>
    <row r="49" ht="18.0" customHeight="1">
      <c r="A49" s="134" t="s">
        <v>72</v>
      </c>
      <c r="B49" s="134" t="s">
        <v>56</v>
      </c>
      <c r="C49" s="134" t="s">
        <v>47</v>
      </c>
      <c r="D49" s="135">
        <v>750.0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7"/>
      <c r="T49" s="137"/>
    </row>
    <row r="50" ht="18.0" customHeight="1">
      <c r="A50" s="134" t="s">
        <v>73</v>
      </c>
      <c r="B50" s="134" t="s">
        <v>38</v>
      </c>
      <c r="C50" s="134" t="s">
        <v>39</v>
      </c>
      <c r="D50" s="135">
        <v>950.0</v>
      </c>
      <c r="E50" s="136">
        <v>1025.0</v>
      </c>
      <c r="F50" s="136">
        <v>201.25</v>
      </c>
      <c r="G50" s="136">
        <v>0.0</v>
      </c>
      <c r="H50" s="136">
        <v>0.0</v>
      </c>
      <c r="I50" s="136">
        <v>1025.0</v>
      </c>
      <c r="J50" s="136">
        <v>0.0</v>
      </c>
      <c r="K50" s="136">
        <v>0.0</v>
      </c>
      <c r="L50" s="136">
        <v>0.0</v>
      </c>
      <c r="M50" s="136">
        <v>0.0</v>
      </c>
      <c r="N50" s="136">
        <v>0.0</v>
      </c>
      <c r="O50" s="136">
        <v>0.0</v>
      </c>
      <c r="P50" s="136">
        <v>0.0</v>
      </c>
      <c r="Q50" s="136">
        <v>0.0</v>
      </c>
      <c r="R50" s="136">
        <v>0.0</v>
      </c>
      <c r="S50" s="137">
        <v>45626.0</v>
      </c>
      <c r="T50" s="137">
        <v>46355.0</v>
      </c>
    </row>
    <row r="51" ht="18.0" customHeight="1">
      <c r="A51" s="134" t="s">
        <v>74</v>
      </c>
      <c r="B51" s="134" t="s">
        <v>56</v>
      </c>
      <c r="C51" s="134" t="s">
        <v>39</v>
      </c>
      <c r="D51" s="135">
        <v>850.0</v>
      </c>
      <c r="E51" s="136">
        <v>850.0</v>
      </c>
      <c r="F51" s="136">
        <v>-850.0</v>
      </c>
      <c r="G51" s="136">
        <v>0.0</v>
      </c>
      <c r="H51" s="136">
        <v>0.0</v>
      </c>
      <c r="I51" s="136">
        <v>850.0</v>
      </c>
      <c r="J51" s="136">
        <v>0.0</v>
      </c>
      <c r="K51" s="136">
        <v>0.0</v>
      </c>
      <c r="L51" s="136">
        <v>0.0</v>
      </c>
      <c r="M51" s="136">
        <v>0.0</v>
      </c>
      <c r="N51" s="136">
        <v>0.0</v>
      </c>
      <c r="O51" s="136">
        <v>0.0</v>
      </c>
      <c r="P51" s="136">
        <v>0.0</v>
      </c>
      <c r="Q51" s="136">
        <v>0.0</v>
      </c>
      <c r="R51" s="136">
        <v>0.0</v>
      </c>
      <c r="S51" s="137">
        <v>44620.0</v>
      </c>
      <c r="T51" s="137">
        <v>46112.0</v>
      </c>
    </row>
    <row r="52" ht="18.0" customHeight="1">
      <c r="A52" s="134" t="s">
        <v>75</v>
      </c>
      <c r="B52" s="134" t="s">
        <v>38</v>
      </c>
      <c r="C52" s="134" t="s">
        <v>39</v>
      </c>
      <c r="D52" s="135">
        <v>950.0</v>
      </c>
      <c r="E52" s="136">
        <v>900.0</v>
      </c>
      <c r="F52" s="136">
        <v>145.0</v>
      </c>
      <c r="G52" s="136">
        <v>0.0</v>
      </c>
      <c r="H52" s="136">
        <v>0.0</v>
      </c>
      <c r="I52" s="136">
        <v>900.0</v>
      </c>
      <c r="J52" s="136">
        <v>0.0</v>
      </c>
      <c r="K52" s="136">
        <v>0.0</v>
      </c>
      <c r="L52" s="136">
        <v>0.0</v>
      </c>
      <c r="M52" s="136">
        <v>0.0</v>
      </c>
      <c r="N52" s="136">
        <v>0.0</v>
      </c>
      <c r="O52" s="136">
        <v>0.0</v>
      </c>
      <c r="P52" s="136">
        <v>0.0</v>
      </c>
      <c r="Q52" s="136">
        <v>0.0</v>
      </c>
      <c r="R52" s="136">
        <v>0.0</v>
      </c>
      <c r="S52" s="137">
        <v>45972.0</v>
      </c>
      <c r="T52" s="137">
        <v>46336.0</v>
      </c>
    </row>
    <row r="53" ht="18.0" customHeight="1">
      <c r="A53" s="134" t="s">
        <v>76</v>
      </c>
      <c r="B53" s="134" t="s">
        <v>56</v>
      </c>
      <c r="C53" s="134" t="s">
        <v>39</v>
      </c>
      <c r="D53" s="135">
        <v>700.0</v>
      </c>
      <c r="E53" s="136">
        <v>850.0</v>
      </c>
      <c r="F53" s="136">
        <v>0.0</v>
      </c>
      <c r="G53" s="136">
        <v>0.0</v>
      </c>
      <c r="H53" s="136">
        <v>0.0</v>
      </c>
      <c r="I53" s="136">
        <v>850.0</v>
      </c>
      <c r="J53" s="136">
        <v>0.0</v>
      </c>
      <c r="K53" s="136">
        <v>0.0</v>
      </c>
      <c r="L53" s="136">
        <v>0.0</v>
      </c>
      <c r="M53" s="136">
        <v>0.0</v>
      </c>
      <c r="N53" s="136">
        <v>0.0</v>
      </c>
      <c r="O53" s="136">
        <v>0.0</v>
      </c>
      <c r="P53" s="136">
        <v>0.0</v>
      </c>
      <c r="Q53" s="136">
        <v>0.0</v>
      </c>
      <c r="R53" s="136">
        <v>0.0</v>
      </c>
      <c r="S53" s="137">
        <v>45646.0</v>
      </c>
      <c r="T53" s="137">
        <v>46010.0</v>
      </c>
    </row>
    <row r="54" ht="18.0" customHeight="1">
      <c r="A54" s="134" t="s">
        <v>77</v>
      </c>
      <c r="B54" s="134" t="s">
        <v>38</v>
      </c>
      <c r="C54" s="134" t="s">
        <v>39</v>
      </c>
      <c r="D54" s="135">
        <v>950.0</v>
      </c>
      <c r="E54" s="136">
        <v>850.0</v>
      </c>
      <c r="F54" s="136">
        <v>0.0</v>
      </c>
      <c r="G54" s="136">
        <v>0.0</v>
      </c>
      <c r="H54" s="136">
        <v>0.0</v>
      </c>
      <c r="I54" s="136">
        <v>850.0</v>
      </c>
      <c r="J54" s="136">
        <v>0.0</v>
      </c>
      <c r="K54" s="136">
        <v>0.0</v>
      </c>
      <c r="L54" s="136">
        <v>0.0</v>
      </c>
      <c r="M54" s="136">
        <v>0.0</v>
      </c>
      <c r="N54" s="136">
        <v>0.0</v>
      </c>
      <c r="O54" s="136">
        <v>0.0</v>
      </c>
      <c r="P54" s="136">
        <v>0.0</v>
      </c>
      <c r="Q54" s="136">
        <v>0.0</v>
      </c>
      <c r="R54" s="136">
        <v>0.0</v>
      </c>
      <c r="S54" s="137">
        <v>42644.0</v>
      </c>
      <c r="T54" s="137">
        <v>46387.0</v>
      </c>
    </row>
    <row r="55" ht="18.0" customHeight="1">
      <c r="A55" s="134" t="s">
        <v>78</v>
      </c>
      <c r="B55" s="134" t="s">
        <v>56</v>
      </c>
      <c r="C55" s="134" t="s">
        <v>39</v>
      </c>
      <c r="D55" s="135">
        <v>750.0</v>
      </c>
      <c r="E55" s="136">
        <v>850.0</v>
      </c>
      <c r="F55" s="136">
        <v>0.0</v>
      </c>
      <c r="G55" s="136">
        <v>0.0</v>
      </c>
      <c r="H55" s="136">
        <v>0.0</v>
      </c>
      <c r="I55" s="136">
        <v>850.0</v>
      </c>
      <c r="J55" s="136">
        <v>0.0</v>
      </c>
      <c r="K55" s="136">
        <v>0.0</v>
      </c>
      <c r="L55" s="136">
        <v>0.0</v>
      </c>
      <c r="M55" s="136">
        <v>0.0</v>
      </c>
      <c r="N55" s="136">
        <v>0.0</v>
      </c>
      <c r="O55" s="136">
        <v>0.0</v>
      </c>
      <c r="P55" s="136">
        <v>0.0</v>
      </c>
      <c r="Q55" s="136">
        <v>0.0</v>
      </c>
      <c r="R55" s="136">
        <v>0.0</v>
      </c>
      <c r="S55" s="137">
        <v>42064.0</v>
      </c>
      <c r="T55" s="137">
        <v>46142.0</v>
      </c>
    </row>
    <row r="56" ht="18.0" customHeight="1">
      <c r="A56" s="134" t="s">
        <v>79</v>
      </c>
      <c r="B56" s="134" t="s">
        <v>38</v>
      </c>
      <c r="C56" s="134" t="s">
        <v>39</v>
      </c>
      <c r="D56" s="135">
        <v>950.0</v>
      </c>
      <c r="E56" s="136">
        <v>1075.0</v>
      </c>
      <c r="F56" s="136">
        <v>0.0</v>
      </c>
      <c r="G56" s="136">
        <v>0.0</v>
      </c>
      <c r="H56" s="136">
        <v>0.0</v>
      </c>
      <c r="I56" s="136">
        <v>1025.0</v>
      </c>
      <c r="J56" s="136">
        <v>0.0</v>
      </c>
      <c r="K56" s="136">
        <v>0.0</v>
      </c>
      <c r="L56" s="136">
        <v>0.0</v>
      </c>
      <c r="M56" s="136">
        <v>0.0</v>
      </c>
      <c r="N56" s="136">
        <v>0.0</v>
      </c>
      <c r="O56" s="136">
        <v>50.0</v>
      </c>
      <c r="P56" s="136">
        <v>0.0</v>
      </c>
      <c r="Q56" s="136">
        <v>0.0</v>
      </c>
      <c r="R56" s="136">
        <v>0.0</v>
      </c>
      <c r="S56" s="137">
        <v>45717.0</v>
      </c>
      <c r="T56" s="137">
        <v>46446.0</v>
      </c>
    </row>
    <row r="57" ht="18.0" customHeight="1">
      <c r="A57" s="134" t="s">
        <v>80</v>
      </c>
      <c r="B57" s="134" t="s">
        <v>56</v>
      </c>
      <c r="C57" s="134" t="s">
        <v>39</v>
      </c>
      <c r="D57" s="135">
        <v>850.0</v>
      </c>
      <c r="E57" s="136">
        <v>775.0</v>
      </c>
      <c r="F57" s="136">
        <v>0.0</v>
      </c>
      <c r="G57" s="136">
        <v>0.0</v>
      </c>
      <c r="H57" s="136">
        <v>0.0</v>
      </c>
      <c r="I57" s="136">
        <v>775.0</v>
      </c>
      <c r="J57" s="136">
        <v>0.0</v>
      </c>
      <c r="K57" s="136">
        <v>0.0</v>
      </c>
      <c r="L57" s="136">
        <v>0.0</v>
      </c>
      <c r="M57" s="136">
        <v>0.0</v>
      </c>
      <c r="N57" s="136">
        <v>0.0</v>
      </c>
      <c r="O57" s="136">
        <v>0.0</v>
      </c>
      <c r="P57" s="136">
        <v>0.0</v>
      </c>
      <c r="Q57" s="136">
        <v>0.0</v>
      </c>
      <c r="R57" s="136">
        <v>0.0</v>
      </c>
      <c r="S57" s="137">
        <v>45170.0</v>
      </c>
      <c r="T57" s="137">
        <v>46295.0</v>
      </c>
    </row>
    <row r="58" ht="18.0" customHeight="1">
      <c r="A58" s="134" t="s">
        <v>81</v>
      </c>
      <c r="B58" s="134" t="s">
        <v>38</v>
      </c>
      <c r="C58" s="134" t="s">
        <v>39</v>
      </c>
      <c r="D58" s="135">
        <v>950.0</v>
      </c>
      <c r="E58" s="136">
        <v>800.0</v>
      </c>
      <c r="F58" s="136">
        <v>0.0</v>
      </c>
      <c r="G58" s="136">
        <v>0.0</v>
      </c>
      <c r="H58" s="136">
        <v>0.0</v>
      </c>
      <c r="I58" s="136">
        <v>800.0</v>
      </c>
      <c r="J58" s="136">
        <v>0.0</v>
      </c>
      <c r="K58" s="136">
        <v>0.0</v>
      </c>
      <c r="L58" s="136">
        <v>0.0</v>
      </c>
      <c r="M58" s="136">
        <v>0.0</v>
      </c>
      <c r="N58" s="136">
        <v>0.0</v>
      </c>
      <c r="O58" s="136">
        <v>0.0</v>
      </c>
      <c r="P58" s="136">
        <v>0.0</v>
      </c>
      <c r="Q58" s="136">
        <v>0.0</v>
      </c>
      <c r="R58" s="136">
        <v>0.0</v>
      </c>
      <c r="S58" s="137">
        <v>37165.0</v>
      </c>
      <c r="T58" s="137">
        <v>46387.0</v>
      </c>
    </row>
    <row r="59" ht="18.0" customHeight="1">
      <c r="A59" s="134" t="s">
        <v>82</v>
      </c>
      <c r="B59" s="134" t="s">
        <v>56</v>
      </c>
      <c r="C59" s="134" t="s">
        <v>47</v>
      </c>
      <c r="D59" s="135">
        <v>700.0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7"/>
      <c r="T59" s="137"/>
    </row>
    <row r="60" ht="18.0" customHeight="1">
      <c r="A60" s="134" t="s">
        <v>83</v>
      </c>
      <c r="B60" s="134" t="s">
        <v>38</v>
      </c>
      <c r="C60" s="134" t="s">
        <v>39</v>
      </c>
      <c r="D60" s="135">
        <v>950.0</v>
      </c>
      <c r="E60" s="136">
        <v>1025.0</v>
      </c>
      <c r="F60" s="136">
        <v>402.88</v>
      </c>
      <c r="G60" s="136">
        <v>0.0</v>
      </c>
      <c r="H60" s="136">
        <v>0.0</v>
      </c>
      <c r="I60" s="136">
        <v>0.0</v>
      </c>
      <c r="J60" s="136">
        <v>0.0</v>
      </c>
      <c r="K60" s="136">
        <v>0.0</v>
      </c>
      <c r="L60" s="136">
        <v>1025.0</v>
      </c>
      <c r="M60" s="136">
        <v>0.0</v>
      </c>
      <c r="N60" s="136">
        <v>0.0</v>
      </c>
      <c r="O60" s="136">
        <v>0.0</v>
      </c>
      <c r="P60" s="136">
        <v>0.0</v>
      </c>
      <c r="Q60" s="136">
        <v>0.0</v>
      </c>
      <c r="R60" s="136">
        <v>0.0</v>
      </c>
      <c r="S60" s="137">
        <v>45725.0</v>
      </c>
      <c r="T60" s="137">
        <v>46089.0</v>
      </c>
    </row>
    <row r="61" ht="18.0" customHeight="1">
      <c r="A61" s="134" t="s">
        <v>84</v>
      </c>
      <c r="B61" s="134" t="s">
        <v>56</v>
      </c>
      <c r="C61" s="134" t="s">
        <v>39</v>
      </c>
      <c r="D61" s="135">
        <v>750.0</v>
      </c>
      <c r="E61" s="136">
        <v>925.0</v>
      </c>
      <c r="F61" s="136">
        <v>0.0</v>
      </c>
      <c r="G61" s="136">
        <v>0.0</v>
      </c>
      <c r="H61" s="136">
        <v>0.0</v>
      </c>
      <c r="I61" s="136">
        <v>925.0</v>
      </c>
      <c r="J61" s="136">
        <v>0.0</v>
      </c>
      <c r="K61" s="136">
        <v>0.0</v>
      </c>
      <c r="L61" s="136">
        <v>0.0</v>
      </c>
      <c r="M61" s="136">
        <v>0.0</v>
      </c>
      <c r="N61" s="136">
        <v>0.0</v>
      </c>
      <c r="O61" s="136">
        <v>0.0</v>
      </c>
      <c r="P61" s="136">
        <v>0.0</v>
      </c>
      <c r="Q61" s="136">
        <v>0.0</v>
      </c>
      <c r="R61" s="136">
        <v>0.0</v>
      </c>
      <c r="S61" s="137">
        <v>45766.0</v>
      </c>
      <c r="T61" s="137">
        <v>46142.0</v>
      </c>
    </row>
    <row r="62" ht="18.0" customHeight="1">
      <c r="A62" s="134" t="s">
        <v>85</v>
      </c>
      <c r="B62" s="134" t="s">
        <v>38</v>
      </c>
      <c r="C62" s="134" t="s">
        <v>39</v>
      </c>
      <c r="D62" s="135">
        <v>950.0</v>
      </c>
      <c r="E62" s="136">
        <v>995.0</v>
      </c>
      <c r="F62" s="136">
        <v>0.0</v>
      </c>
      <c r="G62" s="136">
        <v>0.0</v>
      </c>
      <c r="H62" s="136">
        <v>0.0</v>
      </c>
      <c r="I62" s="136">
        <v>995.0</v>
      </c>
      <c r="J62" s="136">
        <v>0.0</v>
      </c>
      <c r="K62" s="136">
        <v>0.0</v>
      </c>
      <c r="L62" s="136">
        <v>0.0</v>
      </c>
      <c r="M62" s="136">
        <v>0.0</v>
      </c>
      <c r="N62" s="136">
        <v>0.0</v>
      </c>
      <c r="O62" s="136">
        <v>0.0</v>
      </c>
      <c r="P62" s="136">
        <v>0.0</v>
      </c>
      <c r="Q62" s="136">
        <v>0.0</v>
      </c>
      <c r="R62" s="136">
        <v>0.0</v>
      </c>
      <c r="S62" s="137">
        <v>45775.0</v>
      </c>
      <c r="T62" s="137">
        <v>46142.0</v>
      </c>
    </row>
    <row r="63" ht="18.0" customHeight="1">
      <c r="A63" s="134" t="s">
        <v>86</v>
      </c>
      <c r="B63" s="134" t="s">
        <v>56</v>
      </c>
      <c r="C63" s="134" t="s">
        <v>39</v>
      </c>
      <c r="D63" s="135">
        <v>750.0</v>
      </c>
      <c r="E63" s="136">
        <v>950.0</v>
      </c>
      <c r="F63" s="136">
        <v>0.0</v>
      </c>
      <c r="G63" s="136">
        <v>0.0</v>
      </c>
      <c r="H63" s="136">
        <v>0.0</v>
      </c>
      <c r="I63" s="136">
        <v>950.0</v>
      </c>
      <c r="J63" s="136">
        <v>0.0</v>
      </c>
      <c r="K63" s="136">
        <v>0.0</v>
      </c>
      <c r="L63" s="136">
        <v>0.0</v>
      </c>
      <c r="M63" s="136">
        <v>0.0</v>
      </c>
      <c r="N63" s="136">
        <v>0.0</v>
      </c>
      <c r="O63" s="136">
        <v>0.0</v>
      </c>
      <c r="P63" s="136">
        <v>0.0</v>
      </c>
      <c r="Q63" s="136">
        <v>0.0</v>
      </c>
      <c r="R63" s="136">
        <v>0.0</v>
      </c>
      <c r="S63" s="137">
        <v>45717.0</v>
      </c>
      <c r="T63" s="137">
        <v>46081.0</v>
      </c>
    </row>
    <row r="64" ht="18.0" customHeight="1">
      <c r="A64" s="134" t="s">
        <v>87</v>
      </c>
      <c r="B64" s="134" t="s">
        <v>38</v>
      </c>
      <c r="C64" s="134" t="s">
        <v>39</v>
      </c>
      <c r="D64" s="135">
        <v>950.0</v>
      </c>
      <c r="E64" s="136">
        <v>1040.0</v>
      </c>
      <c r="F64" s="136">
        <v>0.0</v>
      </c>
      <c r="G64" s="136">
        <v>0.0</v>
      </c>
      <c r="H64" s="136">
        <v>0.0</v>
      </c>
      <c r="I64" s="136">
        <v>1025.0</v>
      </c>
      <c r="J64" s="136">
        <v>0.0</v>
      </c>
      <c r="K64" s="136">
        <v>0.0</v>
      </c>
      <c r="L64" s="136">
        <v>0.0</v>
      </c>
      <c r="M64" s="136">
        <v>0.0</v>
      </c>
      <c r="N64" s="136">
        <v>0.0</v>
      </c>
      <c r="O64" s="136">
        <v>0.0</v>
      </c>
      <c r="P64" s="136">
        <v>0.0</v>
      </c>
      <c r="Q64" s="136">
        <v>0.0</v>
      </c>
      <c r="R64" s="136">
        <v>15.0</v>
      </c>
      <c r="S64" s="137">
        <v>45964.0</v>
      </c>
      <c r="T64" s="137">
        <v>46328.0</v>
      </c>
    </row>
    <row r="65" ht="18.0" customHeight="1">
      <c r="A65" s="134" t="s">
        <v>88</v>
      </c>
      <c r="B65" s="134" t="s">
        <v>56</v>
      </c>
      <c r="C65" s="134" t="s">
        <v>178</v>
      </c>
      <c r="D65" s="135">
        <v>700.0</v>
      </c>
      <c r="E65" s="136">
        <v>825.0</v>
      </c>
      <c r="F65" s="136">
        <v>3293.75</v>
      </c>
      <c r="G65" s="136">
        <v>0.0</v>
      </c>
      <c r="H65" s="136">
        <v>0.0</v>
      </c>
      <c r="I65" s="136">
        <v>825.0</v>
      </c>
      <c r="J65" s="136">
        <v>0.0</v>
      </c>
      <c r="K65" s="136">
        <v>0.0</v>
      </c>
      <c r="L65" s="136">
        <v>0.0</v>
      </c>
      <c r="M65" s="136">
        <v>0.0</v>
      </c>
      <c r="N65" s="136">
        <v>0.0</v>
      </c>
      <c r="O65" s="136">
        <v>0.0</v>
      </c>
      <c r="P65" s="136">
        <v>0.0</v>
      </c>
      <c r="Q65" s="136">
        <v>0.0</v>
      </c>
      <c r="R65" s="136">
        <v>0.0</v>
      </c>
      <c r="S65" s="137">
        <v>45485.0</v>
      </c>
      <c r="T65" s="137">
        <v>46264.0</v>
      </c>
    </row>
    <row r="66" ht="18.0" customHeight="1">
      <c r="A66" s="134" t="s">
        <v>89</v>
      </c>
      <c r="B66" s="134" t="s">
        <v>38</v>
      </c>
      <c r="C66" s="134" t="s">
        <v>39</v>
      </c>
      <c r="D66" s="135">
        <v>950.0</v>
      </c>
      <c r="E66" s="136">
        <v>800.0</v>
      </c>
      <c r="F66" s="136">
        <v>0.0</v>
      </c>
      <c r="G66" s="136">
        <v>0.0</v>
      </c>
      <c r="H66" s="136">
        <v>0.0</v>
      </c>
      <c r="I66" s="136">
        <v>800.0</v>
      </c>
      <c r="J66" s="136">
        <v>0.0</v>
      </c>
      <c r="K66" s="136">
        <v>0.0</v>
      </c>
      <c r="L66" s="136">
        <v>0.0</v>
      </c>
      <c r="M66" s="136">
        <v>0.0</v>
      </c>
      <c r="N66" s="136">
        <v>0.0</v>
      </c>
      <c r="O66" s="136">
        <v>0.0</v>
      </c>
      <c r="P66" s="136">
        <v>0.0</v>
      </c>
      <c r="Q66" s="136">
        <v>0.0</v>
      </c>
      <c r="R66" s="136">
        <v>0.0</v>
      </c>
      <c r="S66" s="137">
        <v>43282.0</v>
      </c>
      <c r="T66" s="137">
        <v>46204.0</v>
      </c>
    </row>
    <row r="67" ht="18.0" customHeight="1">
      <c r="A67" s="134" t="s">
        <v>90</v>
      </c>
      <c r="B67" s="134" t="s">
        <v>56</v>
      </c>
      <c r="C67" s="134" t="s">
        <v>39</v>
      </c>
      <c r="D67" s="135">
        <v>750.0</v>
      </c>
      <c r="E67" s="136">
        <v>950.0</v>
      </c>
      <c r="F67" s="136">
        <v>0.0</v>
      </c>
      <c r="G67" s="136">
        <v>0.0</v>
      </c>
      <c r="H67" s="136">
        <v>0.0</v>
      </c>
      <c r="I67" s="136">
        <v>950.0</v>
      </c>
      <c r="J67" s="136">
        <v>0.0</v>
      </c>
      <c r="K67" s="136">
        <v>0.0</v>
      </c>
      <c r="L67" s="136">
        <v>0.0</v>
      </c>
      <c r="M67" s="136">
        <v>0.0</v>
      </c>
      <c r="N67" s="136">
        <v>0.0</v>
      </c>
      <c r="O67" s="136">
        <v>0.0</v>
      </c>
      <c r="P67" s="136">
        <v>0.0</v>
      </c>
      <c r="Q67" s="136">
        <v>0.0</v>
      </c>
      <c r="R67" s="136">
        <v>0.0</v>
      </c>
      <c r="S67" s="137">
        <v>45713.0</v>
      </c>
      <c r="T67" s="137">
        <v>46442.0</v>
      </c>
    </row>
    <row r="68" ht="18.0" customHeight="1">
      <c r="A68" s="134" t="s">
        <v>91</v>
      </c>
      <c r="B68" s="134" t="s">
        <v>38</v>
      </c>
      <c r="C68" s="134" t="s">
        <v>107</v>
      </c>
      <c r="D68" s="135">
        <v>950.0</v>
      </c>
      <c r="E68" s="136">
        <v>800.0</v>
      </c>
      <c r="F68" s="136">
        <v>990.0</v>
      </c>
      <c r="G68" s="136">
        <v>0.0</v>
      </c>
      <c r="H68" s="136">
        <v>0.0</v>
      </c>
      <c r="I68" s="136">
        <v>800.0</v>
      </c>
      <c r="J68" s="136">
        <v>0.0</v>
      </c>
      <c r="K68" s="136">
        <v>0.0</v>
      </c>
      <c r="L68" s="136">
        <v>0.0</v>
      </c>
      <c r="M68" s="136">
        <v>0.0</v>
      </c>
      <c r="N68" s="136">
        <v>0.0</v>
      </c>
      <c r="O68" s="136">
        <v>0.0</v>
      </c>
      <c r="P68" s="136">
        <v>0.0</v>
      </c>
      <c r="Q68" s="136">
        <v>0.0</v>
      </c>
      <c r="R68" s="136">
        <v>0.0</v>
      </c>
      <c r="S68" s="137">
        <v>44105.0</v>
      </c>
      <c r="T68" s="137"/>
    </row>
    <row r="69" ht="18.0" customHeight="1">
      <c r="A69" s="134" t="s">
        <v>92</v>
      </c>
      <c r="B69" s="134" t="s">
        <v>56</v>
      </c>
      <c r="C69" s="134" t="s">
        <v>39</v>
      </c>
      <c r="D69" s="135">
        <v>850.0</v>
      </c>
      <c r="E69" s="136">
        <v>925.0</v>
      </c>
      <c r="F69" s="136">
        <v>2328.57</v>
      </c>
      <c r="G69" s="136">
        <v>0.0</v>
      </c>
      <c r="H69" s="136">
        <v>0.0</v>
      </c>
      <c r="I69" s="136">
        <v>925.0</v>
      </c>
      <c r="J69" s="136">
        <v>0.0</v>
      </c>
      <c r="K69" s="136">
        <v>0.0</v>
      </c>
      <c r="L69" s="136">
        <v>0.0</v>
      </c>
      <c r="M69" s="136">
        <v>0.0</v>
      </c>
      <c r="N69" s="136">
        <v>0.0</v>
      </c>
      <c r="O69" s="136">
        <v>0.0</v>
      </c>
      <c r="P69" s="136">
        <v>0.0</v>
      </c>
      <c r="Q69" s="136">
        <v>0.0</v>
      </c>
      <c r="R69" s="136">
        <v>0.0</v>
      </c>
      <c r="S69" s="137">
        <v>45839.0</v>
      </c>
      <c r="T69" s="137">
        <v>46203.0</v>
      </c>
    </row>
    <row r="70" ht="18.0" customHeight="1">
      <c r="A70" s="134" t="s">
        <v>93</v>
      </c>
      <c r="B70" s="134" t="s">
        <v>38</v>
      </c>
      <c r="C70" s="134" t="s">
        <v>39</v>
      </c>
      <c r="D70" s="135">
        <v>950.0</v>
      </c>
      <c r="E70" s="136">
        <v>800.0</v>
      </c>
      <c r="F70" s="136">
        <v>0.0</v>
      </c>
      <c r="G70" s="136">
        <v>0.0</v>
      </c>
      <c r="H70" s="136">
        <v>0.0</v>
      </c>
      <c r="I70" s="136">
        <v>800.0</v>
      </c>
      <c r="J70" s="136">
        <v>0.0</v>
      </c>
      <c r="K70" s="136">
        <v>0.0</v>
      </c>
      <c r="L70" s="136">
        <v>0.0</v>
      </c>
      <c r="M70" s="136">
        <v>0.0</v>
      </c>
      <c r="N70" s="136">
        <v>0.0</v>
      </c>
      <c r="O70" s="136">
        <v>0.0</v>
      </c>
      <c r="P70" s="136">
        <v>0.0</v>
      </c>
      <c r="Q70" s="136">
        <v>0.0</v>
      </c>
      <c r="R70" s="136">
        <v>0.0</v>
      </c>
      <c r="S70" s="137">
        <v>45748.0</v>
      </c>
      <c r="T70" s="137">
        <v>46387.0</v>
      </c>
    </row>
    <row r="71" ht="18.0" customHeight="1">
      <c r="A71" s="134" t="s">
        <v>94</v>
      </c>
      <c r="B71" s="134" t="s">
        <v>56</v>
      </c>
      <c r="C71" s="134" t="s">
        <v>47</v>
      </c>
      <c r="D71" s="135">
        <v>700.0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7"/>
      <c r="T71" s="137"/>
    </row>
    <row r="72" ht="18.0" customHeight="1">
      <c r="A72" s="134" t="s">
        <v>95</v>
      </c>
      <c r="B72" s="134" t="s">
        <v>38</v>
      </c>
      <c r="C72" s="134" t="s">
        <v>39</v>
      </c>
      <c r="D72" s="135">
        <v>950.0</v>
      </c>
      <c r="E72" s="136">
        <v>1025.0</v>
      </c>
      <c r="F72" s="136">
        <v>-75.81</v>
      </c>
      <c r="G72" s="136">
        <v>0.0</v>
      </c>
      <c r="H72" s="136">
        <v>0.0</v>
      </c>
      <c r="I72" s="136">
        <v>83.0</v>
      </c>
      <c r="J72" s="136">
        <v>0.0</v>
      </c>
      <c r="K72" s="136">
        <v>0.0</v>
      </c>
      <c r="L72" s="136">
        <v>942.0</v>
      </c>
      <c r="M72" s="136">
        <v>0.0</v>
      </c>
      <c r="N72" s="136">
        <v>0.0</v>
      </c>
      <c r="O72" s="136">
        <v>0.0</v>
      </c>
      <c r="P72" s="136">
        <v>0.0</v>
      </c>
      <c r="Q72" s="136">
        <v>0.0</v>
      </c>
      <c r="R72" s="136">
        <v>0.0</v>
      </c>
      <c r="S72" s="137">
        <v>45898.0</v>
      </c>
      <c r="T72" s="137">
        <v>46262.0</v>
      </c>
    </row>
    <row r="73" ht="18.0" customHeight="1">
      <c r="A73" s="134" t="s">
        <v>96</v>
      </c>
      <c r="B73" s="134" t="s">
        <v>56</v>
      </c>
      <c r="C73" s="134" t="s">
        <v>47</v>
      </c>
      <c r="D73" s="135">
        <v>750.0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7"/>
      <c r="T73" s="137"/>
    </row>
    <row r="74" ht="18.0" customHeight="1">
      <c r="A74" s="134" t="s">
        <v>97</v>
      </c>
      <c r="B74" s="134" t="s">
        <v>38</v>
      </c>
      <c r="C74" s="134" t="s">
        <v>39</v>
      </c>
      <c r="D74" s="135">
        <v>950.0</v>
      </c>
      <c r="E74" s="136">
        <v>1025.0</v>
      </c>
      <c r="F74" s="136">
        <v>0.0</v>
      </c>
      <c r="G74" s="136">
        <v>0.0</v>
      </c>
      <c r="H74" s="136">
        <v>0.0</v>
      </c>
      <c r="I74" s="136">
        <v>1025.0</v>
      </c>
      <c r="J74" s="136">
        <v>0.0</v>
      </c>
      <c r="K74" s="136">
        <v>0.0</v>
      </c>
      <c r="L74" s="136">
        <v>0.0</v>
      </c>
      <c r="M74" s="136">
        <v>0.0</v>
      </c>
      <c r="N74" s="136">
        <v>0.0</v>
      </c>
      <c r="O74" s="136">
        <v>0.0</v>
      </c>
      <c r="P74" s="136">
        <v>0.0</v>
      </c>
      <c r="Q74" s="136">
        <v>0.0</v>
      </c>
      <c r="R74" s="136">
        <v>0.0</v>
      </c>
      <c r="S74" s="137">
        <v>45962.0</v>
      </c>
      <c r="T74" s="137">
        <v>46691.0</v>
      </c>
    </row>
    <row r="75" ht="18.0" customHeight="1">
      <c r="A75" s="134" t="s">
        <v>98</v>
      </c>
      <c r="B75" s="134" t="s">
        <v>56</v>
      </c>
      <c r="C75" s="134" t="s">
        <v>39</v>
      </c>
      <c r="D75" s="135">
        <v>850.0</v>
      </c>
      <c r="E75" s="136">
        <v>950.0</v>
      </c>
      <c r="F75" s="136">
        <v>1147.5</v>
      </c>
      <c r="G75" s="136">
        <v>0.0</v>
      </c>
      <c r="H75" s="136">
        <v>0.0</v>
      </c>
      <c r="I75" s="136">
        <v>950.0</v>
      </c>
      <c r="J75" s="136">
        <v>0.0</v>
      </c>
      <c r="K75" s="136">
        <v>0.0</v>
      </c>
      <c r="L75" s="136">
        <v>0.0</v>
      </c>
      <c r="M75" s="136">
        <v>0.0</v>
      </c>
      <c r="N75" s="136">
        <v>0.0</v>
      </c>
      <c r="O75" s="136">
        <v>0.0</v>
      </c>
      <c r="P75" s="136">
        <v>0.0</v>
      </c>
      <c r="Q75" s="136">
        <v>0.0</v>
      </c>
      <c r="R75" s="136">
        <v>0.0</v>
      </c>
      <c r="S75" s="137">
        <v>45730.0</v>
      </c>
      <c r="T75" s="137">
        <v>46643.0</v>
      </c>
    </row>
    <row r="76" ht="18.0" customHeight="1">
      <c r="A76" s="138" t="s">
        <v>99</v>
      </c>
      <c r="B76" s="138"/>
      <c r="C76" s="138" t="s">
        <v>100</v>
      </c>
      <c r="D76" s="139">
        <v>30800.0</v>
      </c>
      <c r="E76" s="140">
        <v>29035.0</v>
      </c>
      <c r="F76" s="140">
        <v>11261.89</v>
      </c>
      <c r="G76" s="140">
        <v>0.0</v>
      </c>
      <c r="H76" s="140">
        <v>0.0</v>
      </c>
      <c r="I76" s="140">
        <v>27003.0</v>
      </c>
      <c r="J76" s="140">
        <v>0.0</v>
      </c>
      <c r="K76" s="140">
        <v>0.0</v>
      </c>
      <c r="L76" s="140">
        <v>1967.0</v>
      </c>
      <c r="M76" s="140">
        <v>0.0</v>
      </c>
      <c r="N76" s="140">
        <v>0.0</v>
      </c>
      <c r="O76" s="140">
        <v>50.0</v>
      </c>
      <c r="P76" s="140">
        <v>0.0</v>
      </c>
      <c r="Q76" s="140">
        <v>0.0</v>
      </c>
      <c r="R76" s="140">
        <v>15.0</v>
      </c>
      <c r="S76" s="141"/>
      <c r="T76" s="141"/>
    </row>
    <row r="77" ht="18.0" customHeight="1">
      <c r="A77" s="133" t="s">
        <v>101</v>
      </c>
    </row>
    <row r="78" ht="18.0" customHeight="1">
      <c r="A78" s="134" t="s">
        <v>102</v>
      </c>
      <c r="B78" s="134" t="s">
        <v>38</v>
      </c>
      <c r="C78" s="134" t="s">
        <v>39</v>
      </c>
      <c r="D78" s="135">
        <v>1400.0</v>
      </c>
      <c r="E78" s="136">
        <v>900.0</v>
      </c>
      <c r="F78" s="136">
        <v>0.0</v>
      </c>
      <c r="G78" s="136">
        <v>0.0</v>
      </c>
      <c r="H78" s="136">
        <v>0.0</v>
      </c>
      <c r="I78" s="136">
        <v>0.0</v>
      </c>
      <c r="J78" s="136">
        <v>0.0</v>
      </c>
      <c r="K78" s="136">
        <v>0.0</v>
      </c>
      <c r="L78" s="136">
        <v>900.0</v>
      </c>
      <c r="M78" s="136">
        <v>0.0</v>
      </c>
      <c r="N78" s="136">
        <v>0.0</v>
      </c>
      <c r="O78" s="136">
        <v>0.0</v>
      </c>
      <c r="P78" s="136">
        <v>0.0</v>
      </c>
      <c r="Q78" s="136">
        <v>0.0</v>
      </c>
      <c r="R78" s="136">
        <v>0.0</v>
      </c>
      <c r="S78" s="137">
        <v>45274.0</v>
      </c>
      <c r="T78" s="137">
        <v>46295.0</v>
      </c>
    </row>
    <row r="79" ht="18.0" customHeight="1">
      <c r="A79" s="134" t="s">
        <v>103</v>
      </c>
      <c r="B79" s="134" t="s">
        <v>104</v>
      </c>
      <c r="C79" s="134" t="s">
        <v>39</v>
      </c>
      <c r="D79" s="135">
        <v>1400.0</v>
      </c>
      <c r="E79" s="136">
        <v>1350.0</v>
      </c>
      <c r="F79" s="136">
        <v>0.0</v>
      </c>
      <c r="G79" s="136">
        <v>0.0</v>
      </c>
      <c r="H79" s="136">
        <v>0.0</v>
      </c>
      <c r="I79" s="136">
        <v>1350.0</v>
      </c>
      <c r="J79" s="136">
        <v>0.0</v>
      </c>
      <c r="K79" s="136">
        <v>0.0</v>
      </c>
      <c r="L79" s="136">
        <v>0.0</v>
      </c>
      <c r="M79" s="136">
        <v>0.0</v>
      </c>
      <c r="N79" s="136">
        <v>0.0</v>
      </c>
      <c r="O79" s="136">
        <v>0.0</v>
      </c>
      <c r="P79" s="136">
        <v>0.0</v>
      </c>
      <c r="Q79" s="136">
        <v>0.0</v>
      </c>
      <c r="R79" s="136">
        <v>0.0</v>
      </c>
      <c r="S79" s="137">
        <v>46004.0</v>
      </c>
      <c r="T79" s="137">
        <v>46356.0</v>
      </c>
    </row>
    <row r="80" ht="18.0" customHeight="1">
      <c r="A80" s="134" t="s">
        <v>105</v>
      </c>
      <c r="B80" s="134" t="s">
        <v>38</v>
      </c>
      <c r="C80" s="134" t="s">
        <v>39</v>
      </c>
      <c r="D80" s="135">
        <v>1400.0</v>
      </c>
      <c r="E80" s="136">
        <v>1050.0</v>
      </c>
      <c r="F80" s="136">
        <v>0.0</v>
      </c>
      <c r="G80" s="136">
        <v>0.0</v>
      </c>
      <c r="H80" s="136">
        <v>0.0</v>
      </c>
      <c r="I80" s="136">
        <v>1050.0</v>
      </c>
      <c r="J80" s="136">
        <v>0.0</v>
      </c>
      <c r="K80" s="136">
        <v>0.0</v>
      </c>
      <c r="L80" s="136">
        <v>0.0</v>
      </c>
      <c r="M80" s="136">
        <v>0.0</v>
      </c>
      <c r="N80" s="136">
        <v>0.0</v>
      </c>
      <c r="O80" s="136">
        <v>0.0</v>
      </c>
      <c r="P80" s="136">
        <v>0.0</v>
      </c>
      <c r="Q80" s="136">
        <v>0.0</v>
      </c>
      <c r="R80" s="136">
        <v>0.0</v>
      </c>
      <c r="S80" s="137">
        <v>45836.0</v>
      </c>
      <c r="T80" s="137">
        <v>46200.0</v>
      </c>
    </row>
    <row r="81" ht="18.0" customHeight="1">
      <c r="A81" s="134" t="s">
        <v>106</v>
      </c>
      <c r="B81" s="134" t="s">
        <v>38</v>
      </c>
      <c r="C81" s="134" t="s">
        <v>39</v>
      </c>
      <c r="D81" s="135">
        <v>1400.0</v>
      </c>
      <c r="E81" s="136">
        <v>1150.0</v>
      </c>
      <c r="F81" s="136">
        <v>0.0</v>
      </c>
      <c r="G81" s="136">
        <v>0.0</v>
      </c>
      <c r="H81" s="136">
        <v>0.0</v>
      </c>
      <c r="I81" s="136">
        <v>1150.0</v>
      </c>
      <c r="J81" s="136">
        <v>0.0</v>
      </c>
      <c r="K81" s="136">
        <v>0.0</v>
      </c>
      <c r="L81" s="136">
        <v>0.0</v>
      </c>
      <c r="M81" s="136">
        <v>0.0</v>
      </c>
      <c r="N81" s="136">
        <v>0.0</v>
      </c>
      <c r="O81" s="136">
        <v>0.0</v>
      </c>
      <c r="P81" s="136">
        <v>0.0</v>
      </c>
      <c r="Q81" s="136">
        <v>0.0</v>
      </c>
      <c r="R81" s="136">
        <v>0.0</v>
      </c>
      <c r="S81" s="137">
        <v>45709.0</v>
      </c>
      <c r="T81" s="137">
        <v>46173.0</v>
      </c>
    </row>
    <row r="82" ht="18.0" customHeight="1">
      <c r="A82" s="134" t="s">
        <v>108</v>
      </c>
      <c r="B82" s="134" t="s">
        <v>104</v>
      </c>
      <c r="C82" s="134" t="s">
        <v>47</v>
      </c>
      <c r="D82" s="135">
        <v>1400.0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7"/>
      <c r="T82" s="137"/>
    </row>
    <row r="83" ht="18.0" customHeight="1">
      <c r="A83" s="134" t="s">
        <v>109</v>
      </c>
      <c r="B83" s="134" t="s">
        <v>38</v>
      </c>
      <c r="C83" s="134" t="s">
        <v>39</v>
      </c>
      <c r="D83" s="135">
        <v>1400.0</v>
      </c>
      <c r="E83" s="136">
        <v>1099.0</v>
      </c>
      <c r="F83" s="136">
        <v>0.0</v>
      </c>
      <c r="G83" s="136">
        <v>0.0</v>
      </c>
      <c r="H83" s="136">
        <v>0.0</v>
      </c>
      <c r="I83" s="136">
        <v>1099.0</v>
      </c>
      <c r="J83" s="136">
        <v>0.0</v>
      </c>
      <c r="K83" s="136">
        <v>0.0</v>
      </c>
      <c r="L83" s="136">
        <v>0.0</v>
      </c>
      <c r="M83" s="136">
        <v>0.0</v>
      </c>
      <c r="N83" s="136">
        <v>0.0</v>
      </c>
      <c r="O83" s="136">
        <v>0.0</v>
      </c>
      <c r="P83" s="136">
        <v>0.0</v>
      </c>
      <c r="Q83" s="136">
        <v>0.0</v>
      </c>
      <c r="R83" s="136">
        <v>0.0</v>
      </c>
      <c r="S83" s="137">
        <v>45992.0</v>
      </c>
      <c r="T83" s="137">
        <v>46356.0</v>
      </c>
    </row>
    <row r="84" ht="18.0" customHeight="1">
      <c r="A84" s="134" t="s">
        <v>110</v>
      </c>
      <c r="B84" s="134" t="s">
        <v>38</v>
      </c>
      <c r="C84" s="134" t="s">
        <v>39</v>
      </c>
      <c r="D84" s="135">
        <v>1400.0</v>
      </c>
      <c r="E84" s="136">
        <v>900.0</v>
      </c>
      <c r="F84" s="136">
        <v>-10.01</v>
      </c>
      <c r="G84" s="136">
        <v>0.0</v>
      </c>
      <c r="H84" s="136">
        <v>0.0</v>
      </c>
      <c r="I84" s="136">
        <v>65.0</v>
      </c>
      <c r="J84" s="136">
        <v>0.0</v>
      </c>
      <c r="K84" s="136">
        <v>0.0</v>
      </c>
      <c r="L84" s="136">
        <v>835.0</v>
      </c>
      <c r="M84" s="136">
        <v>0.0</v>
      </c>
      <c r="N84" s="136">
        <v>0.0</v>
      </c>
      <c r="O84" s="136">
        <v>0.0</v>
      </c>
      <c r="P84" s="136">
        <v>0.0</v>
      </c>
      <c r="Q84" s="136">
        <v>0.0</v>
      </c>
      <c r="R84" s="136">
        <v>0.0</v>
      </c>
      <c r="S84" s="137">
        <v>45169.0</v>
      </c>
      <c r="T84" s="137">
        <v>46356.0</v>
      </c>
    </row>
    <row r="85" ht="18.0" customHeight="1">
      <c r="A85" s="134" t="s">
        <v>111</v>
      </c>
      <c r="B85" s="134" t="s">
        <v>104</v>
      </c>
      <c r="C85" s="134" t="s">
        <v>39</v>
      </c>
      <c r="D85" s="135">
        <v>1400.0</v>
      </c>
      <c r="E85" s="136">
        <v>1300.0</v>
      </c>
      <c r="F85" s="136">
        <v>0.0</v>
      </c>
      <c r="G85" s="136">
        <v>0.0</v>
      </c>
      <c r="H85" s="136">
        <v>0.0</v>
      </c>
      <c r="I85" s="136">
        <v>1300.0</v>
      </c>
      <c r="J85" s="136">
        <v>0.0</v>
      </c>
      <c r="K85" s="136">
        <v>0.0</v>
      </c>
      <c r="L85" s="136">
        <v>0.0</v>
      </c>
      <c r="M85" s="136">
        <v>0.0</v>
      </c>
      <c r="N85" s="136">
        <v>0.0</v>
      </c>
      <c r="O85" s="136">
        <v>0.0</v>
      </c>
      <c r="P85" s="136">
        <v>0.0</v>
      </c>
      <c r="Q85" s="136">
        <v>0.0</v>
      </c>
      <c r="R85" s="136">
        <v>0.0</v>
      </c>
      <c r="S85" s="137">
        <v>45801.0</v>
      </c>
      <c r="T85" s="137">
        <v>46165.0</v>
      </c>
    </row>
    <row r="86" ht="18.0" customHeight="1">
      <c r="A86" s="134" t="s">
        <v>112</v>
      </c>
      <c r="B86" s="134" t="s">
        <v>38</v>
      </c>
      <c r="C86" s="134" t="s">
        <v>39</v>
      </c>
      <c r="D86" s="135">
        <v>1400.0</v>
      </c>
      <c r="E86" s="136">
        <v>1099.0</v>
      </c>
      <c r="F86" s="136">
        <v>496.32</v>
      </c>
      <c r="G86" s="136">
        <v>0.0</v>
      </c>
      <c r="H86" s="136">
        <v>0.0</v>
      </c>
      <c r="I86" s="136">
        <v>1099.0</v>
      </c>
      <c r="J86" s="136">
        <v>0.0</v>
      </c>
      <c r="K86" s="136">
        <v>0.0</v>
      </c>
      <c r="L86" s="136">
        <v>0.0</v>
      </c>
      <c r="M86" s="136">
        <v>0.0</v>
      </c>
      <c r="N86" s="136">
        <v>0.0</v>
      </c>
      <c r="O86" s="136">
        <v>0.0</v>
      </c>
      <c r="P86" s="136">
        <v>0.0</v>
      </c>
      <c r="Q86" s="136">
        <v>0.0</v>
      </c>
      <c r="R86" s="136">
        <v>0.0</v>
      </c>
      <c r="S86" s="137">
        <v>46002.0</v>
      </c>
      <c r="T86" s="137">
        <v>46356.0</v>
      </c>
    </row>
    <row r="87" ht="18.0" customHeight="1">
      <c r="A87" s="134" t="s">
        <v>113</v>
      </c>
      <c r="B87" s="134" t="s">
        <v>38</v>
      </c>
      <c r="C87" s="134" t="s">
        <v>39</v>
      </c>
      <c r="D87" s="135">
        <v>1400.0</v>
      </c>
      <c r="E87" s="136">
        <v>900.0</v>
      </c>
      <c r="F87" s="136">
        <v>100.0</v>
      </c>
      <c r="G87" s="136">
        <v>0.0</v>
      </c>
      <c r="H87" s="136">
        <v>0.0</v>
      </c>
      <c r="I87" s="136">
        <v>900.0</v>
      </c>
      <c r="J87" s="136">
        <v>0.0</v>
      </c>
      <c r="K87" s="136">
        <v>0.0</v>
      </c>
      <c r="L87" s="136">
        <v>0.0</v>
      </c>
      <c r="M87" s="136">
        <v>0.0</v>
      </c>
      <c r="N87" s="136">
        <v>0.0</v>
      </c>
      <c r="O87" s="136">
        <v>0.0</v>
      </c>
      <c r="P87" s="136">
        <v>0.0</v>
      </c>
      <c r="Q87" s="136">
        <v>0.0</v>
      </c>
      <c r="R87" s="136">
        <v>0.0</v>
      </c>
      <c r="S87" s="137">
        <v>45134.0</v>
      </c>
      <c r="T87" s="137">
        <v>46295.0</v>
      </c>
    </row>
    <row r="88" ht="18.0" customHeight="1">
      <c r="A88" s="134" t="s">
        <v>114</v>
      </c>
      <c r="B88" s="134" t="s">
        <v>115</v>
      </c>
      <c r="C88" s="134" t="s">
        <v>39</v>
      </c>
      <c r="D88" s="135">
        <v>1400.0</v>
      </c>
      <c r="E88" s="136">
        <v>1300.0</v>
      </c>
      <c r="F88" s="136">
        <v>1146.4</v>
      </c>
      <c r="G88" s="136">
        <v>0.0</v>
      </c>
      <c r="H88" s="136">
        <v>0.0</v>
      </c>
      <c r="I88" s="136">
        <v>424.0</v>
      </c>
      <c r="J88" s="136">
        <v>0.0</v>
      </c>
      <c r="K88" s="136">
        <v>0.0</v>
      </c>
      <c r="L88" s="136">
        <v>876.0</v>
      </c>
      <c r="M88" s="136">
        <v>0.0</v>
      </c>
      <c r="N88" s="136">
        <v>0.0</v>
      </c>
      <c r="O88" s="136">
        <v>0.0</v>
      </c>
      <c r="P88" s="136">
        <v>0.0</v>
      </c>
      <c r="Q88" s="136">
        <v>0.0</v>
      </c>
      <c r="R88" s="136">
        <v>0.0</v>
      </c>
      <c r="S88" s="137">
        <v>45884.0</v>
      </c>
      <c r="T88" s="137">
        <v>46248.0</v>
      </c>
    </row>
    <row r="89" ht="18.0" customHeight="1">
      <c r="A89" s="134" t="s">
        <v>116</v>
      </c>
      <c r="B89" s="134" t="s">
        <v>38</v>
      </c>
      <c r="C89" s="134" t="s">
        <v>39</v>
      </c>
      <c r="D89" s="135">
        <v>1400.0</v>
      </c>
      <c r="E89" s="136">
        <v>1000.0</v>
      </c>
      <c r="F89" s="136">
        <v>0.0</v>
      </c>
      <c r="G89" s="136">
        <v>0.0</v>
      </c>
      <c r="H89" s="136">
        <v>0.0</v>
      </c>
      <c r="I89" s="136">
        <v>1000.0</v>
      </c>
      <c r="J89" s="136">
        <v>0.0</v>
      </c>
      <c r="K89" s="136">
        <v>0.0</v>
      </c>
      <c r="L89" s="136">
        <v>0.0</v>
      </c>
      <c r="M89" s="136">
        <v>0.0</v>
      </c>
      <c r="N89" s="136">
        <v>0.0</v>
      </c>
      <c r="O89" s="136">
        <v>0.0</v>
      </c>
      <c r="P89" s="136">
        <v>0.0</v>
      </c>
      <c r="Q89" s="136">
        <v>0.0</v>
      </c>
      <c r="R89" s="136">
        <v>0.0</v>
      </c>
      <c r="S89" s="137">
        <v>45231.0</v>
      </c>
      <c r="T89" s="137">
        <v>46356.0</v>
      </c>
    </row>
    <row r="90" ht="18.0" customHeight="1">
      <c r="A90" s="134" t="s">
        <v>117</v>
      </c>
      <c r="B90" s="134" t="s">
        <v>38</v>
      </c>
      <c r="C90" s="134" t="s">
        <v>39</v>
      </c>
      <c r="D90" s="135">
        <v>1400.0</v>
      </c>
      <c r="E90" s="136">
        <v>1100.0</v>
      </c>
      <c r="F90" s="136">
        <v>0.0</v>
      </c>
      <c r="G90" s="136">
        <v>0.0</v>
      </c>
      <c r="H90" s="136">
        <v>0.0</v>
      </c>
      <c r="I90" s="136">
        <v>1100.0</v>
      </c>
      <c r="J90" s="136">
        <v>0.0</v>
      </c>
      <c r="K90" s="136">
        <v>0.0</v>
      </c>
      <c r="L90" s="136">
        <v>0.0</v>
      </c>
      <c r="M90" s="136">
        <v>0.0</v>
      </c>
      <c r="N90" s="136">
        <v>0.0</v>
      </c>
      <c r="O90" s="136">
        <v>0.0</v>
      </c>
      <c r="P90" s="136">
        <v>0.0</v>
      </c>
      <c r="Q90" s="136">
        <v>0.0</v>
      </c>
      <c r="R90" s="136">
        <v>0.0</v>
      </c>
      <c r="S90" s="137">
        <v>45809.0</v>
      </c>
      <c r="T90" s="137">
        <v>46203.0</v>
      </c>
    </row>
    <row r="91" ht="18.0" customHeight="1">
      <c r="A91" s="134" t="s">
        <v>118</v>
      </c>
      <c r="B91" s="134" t="s">
        <v>104</v>
      </c>
      <c r="C91" s="134" t="s">
        <v>297</v>
      </c>
      <c r="D91" s="135">
        <v>1400.0</v>
      </c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7"/>
      <c r="T91" s="137"/>
    </row>
    <row r="92" ht="18.0" customHeight="1">
      <c r="A92" s="134" t="s">
        <v>119</v>
      </c>
      <c r="B92" s="134" t="s">
        <v>38</v>
      </c>
      <c r="C92" s="134" t="s">
        <v>47</v>
      </c>
      <c r="D92" s="135">
        <v>1400.0</v>
      </c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7"/>
      <c r="T92" s="137"/>
    </row>
    <row r="93" ht="18.0" customHeight="1">
      <c r="A93" s="134" t="s">
        <v>120</v>
      </c>
      <c r="B93" s="134" t="s">
        <v>38</v>
      </c>
      <c r="C93" s="134" t="s">
        <v>107</v>
      </c>
      <c r="D93" s="135">
        <v>1400.0</v>
      </c>
      <c r="E93" s="136">
        <v>1150.0</v>
      </c>
      <c r="F93" s="136">
        <v>35.0</v>
      </c>
      <c r="G93" s="136">
        <v>0.0</v>
      </c>
      <c r="H93" s="136">
        <v>0.0</v>
      </c>
      <c r="I93" s="136">
        <v>0.0</v>
      </c>
      <c r="J93" s="136">
        <v>0.0</v>
      </c>
      <c r="K93" s="136">
        <v>0.0</v>
      </c>
      <c r="L93" s="136">
        <v>1150.0</v>
      </c>
      <c r="M93" s="136">
        <v>0.0</v>
      </c>
      <c r="N93" s="136">
        <v>0.0</v>
      </c>
      <c r="O93" s="136">
        <v>0.0</v>
      </c>
      <c r="P93" s="136">
        <v>0.0</v>
      </c>
      <c r="Q93" s="136">
        <v>0.0</v>
      </c>
      <c r="R93" s="136">
        <v>0.0</v>
      </c>
      <c r="S93" s="137">
        <v>45643.0</v>
      </c>
      <c r="T93" s="137">
        <v>46007.0</v>
      </c>
    </row>
    <row r="94" ht="18.0" customHeight="1">
      <c r="A94" s="134" t="s">
        <v>121</v>
      </c>
      <c r="B94" s="134" t="s">
        <v>104</v>
      </c>
      <c r="C94" s="134" t="s">
        <v>39</v>
      </c>
      <c r="D94" s="135">
        <v>1400.0</v>
      </c>
      <c r="E94" s="136">
        <v>1200.0</v>
      </c>
      <c r="F94" s="136">
        <v>20.0</v>
      </c>
      <c r="G94" s="136">
        <v>0.0</v>
      </c>
      <c r="H94" s="136">
        <v>0.0</v>
      </c>
      <c r="I94" s="136">
        <v>1200.0</v>
      </c>
      <c r="J94" s="136">
        <v>0.0</v>
      </c>
      <c r="K94" s="136">
        <v>0.0</v>
      </c>
      <c r="L94" s="136">
        <v>0.0</v>
      </c>
      <c r="M94" s="136">
        <v>0.0</v>
      </c>
      <c r="N94" s="136">
        <v>0.0</v>
      </c>
      <c r="O94" s="136">
        <v>0.0</v>
      </c>
      <c r="P94" s="136">
        <v>0.0</v>
      </c>
      <c r="Q94" s="136">
        <v>0.0</v>
      </c>
      <c r="R94" s="136">
        <v>0.0</v>
      </c>
      <c r="S94" s="137">
        <v>45170.0</v>
      </c>
      <c r="T94" s="137">
        <v>46203.0</v>
      </c>
    </row>
    <row r="95" ht="18.0" customHeight="1">
      <c r="A95" s="134" t="s">
        <v>122</v>
      </c>
      <c r="B95" s="134" t="s">
        <v>38</v>
      </c>
      <c r="C95" s="134" t="s">
        <v>39</v>
      </c>
      <c r="D95" s="135">
        <v>1400.0</v>
      </c>
      <c r="E95" s="136">
        <v>900.0</v>
      </c>
      <c r="F95" s="136">
        <v>258.05</v>
      </c>
      <c r="G95" s="136">
        <v>0.0</v>
      </c>
      <c r="H95" s="136">
        <v>0.0</v>
      </c>
      <c r="I95" s="136">
        <v>371.0</v>
      </c>
      <c r="J95" s="136">
        <v>0.0</v>
      </c>
      <c r="K95" s="136">
        <v>0.0</v>
      </c>
      <c r="L95" s="136">
        <v>529.0</v>
      </c>
      <c r="M95" s="136">
        <v>0.0</v>
      </c>
      <c r="N95" s="136">
        <v>0.0</v>
      </c>
      <c r="O95" s="136">
        <v>0.0</v>
      </c>
      <c r="P95" s="136">
        <v>0.0</v>
      </c>
      <c r="Q95" s="136">
        <v>0.0</v>
      </c>
      <c r="R95" s="136">
        <v>0.0</v>
      </c>
      <c r="S95" s="137">
        <v>45212.0</v>
      </c>
      <c r="T95" s="137">
        <v>46356.0</v>
      </c>
    </row>
    <row r="96" ht="18.0" customHeight="1">
      <c r="A96" s="134" t="s">
        <v>123</v>
      </c>
      <c r="B96" s="134" t="s">
        <v>104</v>
      </c>
      <c r="C96" s="134" t="s">
        <v>39</v>
      </c>
      <c r="D96" s="135">
        <v>1400.0</v>
      </c>
      <c r="E96" s="136">
        <v>1365.0</v>
      </c>
      <c r="F96" s="136">
        <v>0.0</v>
      </c>
      <c r="G96" s="136">
        <v>0.0</v>
      </c>
      <c r="H96" s="136">
        <v>0.0</v>
      </c>
      <c r="I96" s="136">
        <v>1350.0</v>
      </c>
      <c r="J96" s="136">
        <v>0.0</v>
      </c>
      <c r="K96" s="136">
        <v>0.0</v>
      </c>
      <c r="L96" s="136">
        <v>0.0</v>
      </c>
      <c r="M96" s="136">
        <v>0.0</v>
      </c>
      <c r="N96" s="136">
        <v>0.0</v>
      </c>
      <c r="O96" s="136">
        <v>0.0</v>
      </c>
      <c r="P96" s="136">
        <v>0.0</v>
      </c>
      <c r="Q96" s="136">
        <v>0.0</v>
      </c>
      <c r="R96" s="136">
        <v>15.0</v>
      </c>
      <c r="S96" s="137">
        <v>46006.0</v>
      </c>
      <c r="T96" s="137">
        <v>46356.0</v>
      </c>
    </row>
    <row r="97" ht="18.0" customHeight="1">
      <c r="A97" s="134" t="s">
        <v>124</v>
      </c>
      <c r="B97" s="134" t="s">
        <v>115</v>
      </c>
      <c r="C97" s="134" t="s">
        <v>178</v>
      </c>
      <c r="D97" s="135">
        <v>1400.0</v>
      </c>
      <c r="E97" s="136">
        <v>1300.0</v>
      </c>
      <c r="F97" s="136">
        <v>5665.0</v>
      </c>
      <c r="G97" s="136">
        <v>0.0</v>
      </c>
      <c r="H97" s="136">
        <v>0.0</v>
      </c>
      <c r="I97" s="136">
        <v>1300.0</v>
      </c>
      <c r="J97" s="136">
        <v>0.0</v>
      </c>
      <c r="K97" s="136">
        <v>0.0</v>
      </c>
      <c r="L97" s="136">
        <v>0.0</v>
      </c>
      <c r="M97" s="136">
        <v>0.0</v>
      </c>
      <c r="N97" s="136">
        <v>0.0</v>
      </c>
      <c r="O97" s="136">
        <v>0.0</v>
      </c>
      <c r="P97" s="136">
        <v>0.0</v>
      </c>
      <c r="Q97" s="136">
        <v>0.0</v>
      </c>
      <c r="R97" s="136">
        <v>0.0</v>
      </c>
      <c r="S97" s="137">
        <v>45251.0</v>
      </c>
      <c r="T97" s="137"/>
    </row>
    <row r="98" ht="18.0" customHeight="1">
      <c r="A98" s="134" t="s">
        <v>125</v>
      </c>
      <c r="B98" s="134" t="s">
        <v>115</v>
      </c>
      <c r="C98" s="134" t="s">
        <v>47</v>
      </c>
      <c r="D98" s="135">
        <v>1400.0</v>
      </c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7"/>
      <c r="T98" s="137"/>
    </row>
    <row r="99" ht="18.0" customHeight="1">
      <c r="A99" s="134" t="s">
        <v>126</v>
      </c>
      <c r="B99" s="134" t="s">
        <v>104</v>
      </c>
      <c r="C99" s="134" t="s">
        <v>39</v>
      </c>
      <c r="D99" s="135">
        <v>1400.0</v>
      </c>
      <c r="E99" s="136">
        <v>1300.0</v>
      </c>
      <c r="F99" s="136">
        <v>0.0</v>
      </c>
      <c r="G99" s="136">
        <v>0.0</v>
      </c>
      <c r="H99" s="136">
        <v>0.0</v>
      </c>
      <c r="I99" s="136">
        <v>1300.0</v>
      </c>
      <c r="J99" s="136">
        <v>0.0</v>
      </c>
      <c r="K99" s="136">
        <v>0.0</v>
      </c>
      <c r="L99" s="136">
        <v>0.0</v>
      </c>
      <c r="M99" s="136">
        <v>0.0</v>
      </c>
      <c r="N99" s="136">
        <v>0.0</v>
      </c>
      <c r="O99" s="136">
        <v>0.0</v>
      </c>
      <c r="P99" s="136">
        <v>0.0</v>
      </c>
      <c r="Q99" s="136">
        <v>0.0</v>
      </c>
      <c r="R99" s="136">
        <v>0.0</v>
      </c>
      <c r="S99" s="137">
        <v>45847.0</v>
      </c>
      <c r="T99" s="137">
        <v>46233.0</v>
      </c>
    </row>
    <row r="100" ht="18.0" customHeight="1">
      <c r="A100" s="134" t="s">
        <v>127</v>
      </c>
      <c r="B100" s="134" t="s">
        <v>115</v>
      </c>
      <c r="C100" s="134" t="s">
        <v>39</v>
      </c>
      <c r="D100" s="135">
        <v>1400.0</v>
      </c>
      <c r="E100" s="136">
        <v>1275.0</v>
      </c>
      <c r="F100" s="136">
        <v>0.0</v>
      </c>
      <c r="G100" s="136">
        <v>0.0</v>
      </c>
      <c r="H100" s="136">
        <v>0.0</v>
      </c>
      <c r="I100" s="136">
        <v>1275.0</v>
      </c>
      <c r="J100" s="136">
        <v>0.0</v>
      </c>
      <c r="K100" s="136">
        <v>0.0</v>
      </c>
      <c r="L100" s="136">
        <v>0.0</v>
      </c>
      <c r="M100" s="136">
        <v>0.0</v>
      </c>
      <c r="N100" s="136">
        <v>0.0</v>
      </c>
      <c r="O100" s="136">
        <v>0.0</v>
      </c>
      <c r="P100" s="136">
        <v>0.0</v>
      </c>
      <c r="Q100" s="136">
        <v>0.0</v>
      </c>
      <c r="R100" s="136">
        <v>0.0</v>
      </c>
      <c r="S100" s="137">
        <v>45386.0</v>
      </c>
      <c r="T100" s="137">
        <v>46117.0</v>
      </c>
    </row>
    <row r="101" ht="18.0" customHeight="1">
      <c r="A101" s="134" t="s">
        <v>128</v>
      </c>
      <c r="B101" s="134" t="s">
        <v>104</v>
      </c>
      <c r="C101" s="134" t="s">
        <v>39</v>
      </c>
      <c r="D101" s="135">
        <v>1400.0</v>
      </c>
      <c r="E101" s="136">
        <v>1350.0</v>
      </c>
      <c r="F101" s="136">
        <v>0.0</v>
      </c>
      <c r="G101" s="136">
        <v>0.0</v>
      </c>
      <c r="H101" s="136">
        <v>0.0</v>
      </c>
      <c r="I101" s="136">
        <v>1350.0</v>
      </c>
      <c r="J101" s="136">
        <v>0.0</v>
      </c>
      <c r="K101" s="136">
        <v>0.0</v>
      </c>
      <c r="L101" s="136">
        <v>0.0</v>
      </c>
      <c r="M101" s="136">
        <v>0.0</v>
      </c>
      <c r="N101" s="136">
        <v>0.0</v>
      </c>
      <c r="O101" s="136">
        <v>0.0</v>
      </c>
      <c r="P101" s="136">
        <v>0.0</v>
      </c>
      <c r="Q101" s="136">
        <v>0.0</v>
      </c>
      <c r="R101" s="136">
        <v>0.0</v>
      </c>
      <c r="S101" s="137">
        <v>45413.0</v>
      </c>
      <c r="T101" s="137">
        <v>46356.0</v>
      </c>
    </row>
    <row r="102" ht="18.0" customHeight="1">
      <c r="A102" s="134" t="s">
        <v>129</v>
      </c>
      <c r="B102" s="134" t="s">
        <v>38</v>
      </c>
      <c r="C102" s="134" t="s">
        <v>47</v>
      </c>
      <c r="D102" s="135">
        <v>1400.0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7"/>
      <c r="T102" s="137"/>
    </row>
    <row r="103" ht="18.0" customHeight="1">
      <c r="A103" s="134" t="s">
        <v>130</v>
      </c>
      <c r="B103" s="134" t="s">
        <v>115</v>
      </c>
      <c r="C103" s="134" t="s">
        <v>39</v>
      </c>
      <c r="D103" s="135">
        <v>1400.0</v>
      </c>
      <c r="E103" s="136">
        <v>1350.0</v>
      </c>
      <c r="F103" s="136">
        <v>0.0</v>
      </c>
      <c r="G103" s="136">
        <v>0.0</v>
      </c>
      <c r="H103" s="136">
        <v>0.0</v>
      </c>
      <c r="I103" s="136">
        <v>1350.0</v>
      </c>
      <c r="J103" s="136">
        <v>0.0</v>
      </c>
      <c r="K103" s="136">
        <v>0.0</v>
      </c>
      <c r="L103" s="136">
        <v>0.0</v>
      </c>
      <c r="M103" s="136">
        <v>0.0</v>
      </c>
      <c r="N103" s="136">
        <v>0.0</v>
      </c>
      <c r="O103" s="136">
        <v>0.0</v>
      </c>
      <c r="P103" s="136">
        <v>0.0</v>
      </c>
      <c r="Q103" s="136">
        <v>0.0</v>
      </c>
      <c r="R103" s="136">
        <v>0.0</v>
      </c>
      <c r="S103" s="137">
        <v>45887.0</v>
      </c>
      <c r="T103" s="137">
        <v>46251.0</v>
      </c>
    </row>
    <row r="104" ht="18.0" customHeight="1">
      <c r="A104" s="134" t="s">
        <v>131</v>
      </c>
      <c r="B104" s="134" t="s">
        <v>38</v>
      </c>
      <c r="C104" s="134" t="s">
        <v>47</v>
      </c>
      <c r="D104" s="135">
        <v>1400.0</v>
      </c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7"/>
      <c r="T104" s="137"/>
    </row>
    <row r="105" ht="18.0" customHeight="1">
      <c r="A105" s="134" t="s">
        <v>132</v>
      </c>
      <c r="B105" s="134" t="s">
        <v>38</v>
      </c>
      <c r="C105" s="134" t="s">
        <v>47</v>
      </c>
      <c r="D105" s="135">
        <v>1400.0</v>
      </c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7"/>
      <c r="T105" s="137"/>
    </row>
    <row r="106" ht="18.0" customHeight="1">
      <c r="A106" s="134" t="s">
        <v>133</v>
      </c>
      <c r="B106" s="134" t="s">
        <v>115</v>
      </c>
      <c r="C106" s="134" t="s">
        <v>39</v>
      </c>
      <c r="D106" s="135">
        <v>1400.0</v>
      </c>
      <c r="E106" s="136">
        <v>1000.0</v>
      </c>
      <c r="F106" s="136">
        <v>0.0</v>
      </c>
      <c r="G106" s="136">
        <v>0.0</v>
      </c>
      <c r="H106" s="136">
        <v>0.0</v>
      </c>
      <c r="I106" s="136">
        <v>1000.0</v>
      </c>
      <c r="J106" s="136">
        <v>0.0</v>
      </c>
      <c r="K106" s="136">
        <v>0.0</v>
      </c>
      <c r="L106" s="136">
        <v>0.0</v>
      </c>
      <c r="M106" s="136">
        <v>0.0</v>
      </c>
      <c r="N106" s="136">
        <v>0.0</v>
      </c>
      <c r="O106" s="136">
        <v>0.0</v>
      </c>
      <c r="P106" s="136">
        <v>0.0</v>
      </c>
      <c r="Q106" s="136">
        <v>0.0</v>
      </c>
      <c r="R106" s="136">
        <v>0.0</v>
      </c>
      <c r="S106" s="137">
        <v>45597.0</v>
      </c>
      <c r="T106" s="137">
        <v>46356.0</v>
      </c>
    </row>
    <row r="107" ht="18.0" customHeight="1">
      <c r="A107" s="134" t="s">
        <v>134</v>
      </c>
      <c r="B107" s="134" t="s">
        <v>38</v>
      </c>
      <c r="C107" s="134" t="s">
        <v>39</v>
      </c>
      <c r="D107" s="135">
        <v>1400.0</v>
      </c>
      <c r="E107" s="136">
        <v>925.0</v>
      </c>
      <c r="F107" s="136">
        <v>0.0</v>
      </c>
      <c r="G107" s="136">
        <v>0.0</v>
      </c>
      <c r="H107" s="136">
        <v>0.0</v>
      </c>
      <c r="I107" s="136">
        <v>925.0</v>
      </c>
      <c r="J107" s="136">
        <v>0.0</v>
      </c>
      <c r="K107" s="136">
        <v>0.0</v>
      </c>
      <c r="L107" s="136">
        <v>0.0</v>
      </c>
      <c r="M107" s="136">
        <v>0.0</v>
      </c>
      <c r="N107" s="136">
        <v>0.0</v>
      </c>
      <c r="O107" s="136">
        <v>0.0</v>
      </c>
      <c r="P107" s="136">
        <v>0.0</v>
      </c>
      <c r="Q107" s="136">
        <v>0.0</v>
      </c>
      <c r="R107" s="136">
        <v>0.0</v>
      </c>
      <c r="S107" s="137">
        <v>45200.0</v>
      </c>
      <c r="T107" s="137">
        <v>46507.0</v>
      </c>
    </row>
    <row r="108" ht="18.0" customHeight="1">
      <c r="A108" s="134" t="s">
        <v>135</v>
      </c>
      <c r="B108" s="134" t="s">
        <v>38</v>
      </c>
      <c r="C108" s="134" t="s">
        <v>39</v>
      </c>
      <c r="D108" s="135">
        <v>1400.0</v>
      </c>
      <c r="E108" s="136">
        <v>1139.0</v>
      </c>
      <c r="F108" s="136">
        <v>15.0</v>
      </c>
      <c r="G108" s="136">
        <v>0.0</v>
      </c>
      <c r="H108" s="136">
        <v>0.0</v>
      </c>
      <c r="I108" s="136">
        <v>1099.0</v>
      </c>
      <c r="J108" s="136">
        <v>0.0</v>
      </c>
      <c r="K108" s="136">
        <v>0.0</v>
      </c>
      <c r="L108" s="136">
        <v>0.0</v>
      </c>
      <c r="M108" s="136">
        <v>0.0</v>
      </c>
      <c r="N108" s="136">
        <v>0.0</v>
      </c>
      <c r="O108" s="136">
        <v>25.0</v>
      </c>
      <c r="P108" s="136">
        <v>0.0</v>
      </c>
      <c r="Q108" s="136">
        <v>0.0</v>
      </c>
      <c r="R108" s="136">
        <v>15.0</v>
      </c>
      <c r="S108" s="137">
        <v>46037.0</v>
      </c>
      <c r="T108" s="137">
        <v>46387.0</v>
      </c>
    </row>
    <row r="109" ht="18.0" customHeight="1">
      <c r="A109" s="134" t="s">
        <v>136</v>
      </c>
      <c r="B109" s="134" t="s">
        <v>115</v>
      </c>
      <c r="C109" s="134" t="s">
        <v>39</v>
      </c>
      <c r="D109" s="135">
        <v>1400.0</v>
      </c>
      <c r="E109" s="136">
        <v>1350.0</v>
      </c>
      <c r="F109" s="136">
        <v>0.0</v>
      </c>
      <c r="G109" s="136">
        <v>0.0</v>
      </c>
      <c r="H109" s="136">
        <v>0.0</v>
      </c>
      <c r="I109" s="136">
        <v>1350.0</v>
      </c>
      <c r="J109" s="136">
        <v>0.0</v>
      </c>
      <c r="K109" s="136">
        <v>0.0</v>
      </c>
      <c r="L109" s="136">
        <v>0.0</v>
      </c>
      <c r="M109" s="136">
        <v>0.0</v>
      </c>
      <c r="N109" s="136">
        <v>0.0</v>
      </c>
      <c r="O109" s="136">
        <v>0.0</v>
      </c>
      <c r="P109" s="136">
        <v>0.0</v>
      </c>
      <c r="Q109" s="136">
        <v>0.0</v>
      </c>
      <c r="R109" s="136">
        <v>0.0</v>
      </c>
      <c r="S109" s="137">
        <v>45352.0</v>
      </c>
      <c r="T109" s="137">
        <v>46203.0</v>
      </c>
    </row>
    <row r="110" ht="18.0" customHeight="1">
      <c r="A110" s="134" t="s">
        <v>137</v>
      </c>
      <c r="B110" s="134" t="s">
        <v>38</v>
      </c>
      <c r="C110" s="134" t="s">
        <v>47</v>
      </c>
      <c r="D110" s="135">
        <v>1400.0</v>
      </c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7"/>
      <c r="T110" s="137"/>
    </row>
    <row r="111" ht="18.0" customHeight="1">
      <c r="A111" s="134" t="s">
        <v>138</v>
      </c>
      <c r="B111" s="134" t="s">
        <v>38</v>
      </c>
      <c r="C111" s="134" t="s">
        <v>47</v>
      </c>
      <c r="D111" s="135">
        <v>1400.0</v>
      </c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7"/>
      <c r="T111" s="137"/>
    </row>
    <row r="112" ht="18.0" customHeight="1">
      <c r="A112" s="134" t="s">
        <v>139</v>
      </c>
      <c r="B112" s="134" t="s">
        <v>104</v>
      </c>
      <c r="C112" s="134" t="s">
        <v>47</v>
      </c>
      <c r="D112" s="135">
        <v>1400.0</v>
      </c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7"/>
      <c r="T112" s="137"/>
    </row>
    <row r="113" ht="18.0" customHeight="1">
      <c r="A113" s="134" t="s">
        <v>140</v>
      </c>
      <c r="B113" s="134" t="s">
        <v>38</v>
      </c>
      <c r="C113" s="134" t="s">
        <v>39</v>
      </c>
      <c r="D113" s="135">
        <v>1400.0</v>
      </c>
      <c r="E113" s="136">
        <v>1099.0</v>
      </c>
      <c r="F113" s="136">
        <v>1262.95</v>
      </c>
      <c r="G113" s="136">
        <v>0.0</v>
      </c>
      <c r="H113" s="136">
        <v>0.0</v>
      </c>
      <c r="I113" s="136">
        <v>1099.0</v>
      </c>
      <c r="J113" s="136">
        <v>0.0</v>
      </c>
      <c r="K113" s="136">
        <v>0.0</v>
      </c>
      <c r="L113" s="136">
        <v>0.0</v>
      </c>
      <c r="M113" s="136">
        <v>0.0</v>
      </c>
      <c r="N113" s="136">
        <v>0.0</v>
      </c>
      <c r="O113" s="136">
        <v>0.0</v>
      </c>
      <c r="P113" s="136">
        <v>0.0</v>
      </c>
      <c r="Q113" s="136">
        <v>0.0</v>
      </c>
      <c r="R113" s="136">
        <v>0.0</v>
      </c>
      <c r="S113" s="137">
        <v>46031.0</v>
      </c>
      <c r="T113" s="137">
        <v>46387.0</v>
      </c>
    </row>
    <row r="114" ht="18.0" customHeight="1">
      <c r="A114" s="134" t="s">
        <v>141</v>
      </c>
      <c r="B114" s="134" t="s">
        <v>38</v>
      </c>
      <c r="C114" s="134" t="s">
        <v>47</v>
      </c>
      <c r="D114" s="135">
        <v>1400.0</v>
      </c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7"/>
      <c r="T114" s="137"/>
    </row>
    <row r="115" ht="18.0" customHeight="1">
      <c r="A115" s="134" t="s">
        <v>142</v>
      </c>
      <c r="B115" s="134" t="s">
        <v>104</v>
      </c>
      <c r="C115" s="134" t="s">
        <v>39</v>
      </c>
      <c r="D115" s="135">
        <v>1400.0</v>
      </c>
      <c r="E115" s="136">
        <v>1100.0</v>
      </c>
      <c r="F115" s="136">
        <v>0.0</v>
      </c>
      <c r="G115" s="136">
        <v>0.0</v>
      </c>
      <c r="H115" s="136">
        <v>0.0</v>
      </c>
      <c r="I115" s="136">
        <v>1100.0</v>
      </c>
      <c r="J115" s="136">
        <v>0.0</v>
      </c>
      <c r="K115" s="136">
        <v>0.0</v>
      </c>
      <c r="L115" s="136">
        <v>0.0</v>
      </c>
      <c r="M115" s="136">
        <v>0.0</v>
      </c>
      <c r="N115" s="136">
        <v>0.0</v>
      </c>
      <c r="O115" s="136">
        <v>0.0</v>
      </c>
      <c r="P115" s="136">
        <v>0.0</v>
      </c>
      <c r="Q115" s="136">
        <v>0.0</v>
      </c>
      <c r="R115" s="136">
        <v>0.0</v>
      </c>
      <c r="S115" s="137">
        <v>45992.0</v>
      </c>
      <c r="T115" s="137">
        <v>46356.0</v>
      </c>
    </row>
    <row r="116" ht="18.0" customHeight="1">
      <c r="A116" s="134" t="s">
        <v>143</v>
      </c>
      <c r="B116" s="134" t="s">
        <v>38</v>
      </c>
      <c r="C116" s="134" t="s">
        <v>39</v>
      </c>
      <c r="D116" s="135">
        <v>1400.0</v>
      </c>
      <c r="E116" s="136">
        <v>975.0</v>
      </c>
      <c r="F116" s="136">
        <v>-108.0</v>
      </c>
      <c r="G116" s="136">
        <v>0.0</v>
      </c>
      <c r="H116" s="136">
        <v>0.0</v>
      </c>
      <c r="I116" s="136">
        <v>125.0</v>
      </c>
      <c r="J116" s="136">
        <v>0.0</v>
      </c>
      <c r="K116" s="136">
        <v>0.0</v>
      </c>
      <c r="L116" s="136">
        <v>850.0</v>
      </c>
      <c r="M116" s="136">
        <v>0.0</v>
      </c>
      <c r="N116" s="136">
        <v>0.0</v>
      </c>
      <c r="O116" s="136">
        <v>0.0</v>
      </c>
      <c r="P116" s="136">
        <v>0.0</v>
      </c>
      <c r="Q116" s="136">
        <v>0.0</v>
      </c>
      <c r="R116" s="136">
        <v>0.0</v>
      </c>
      <c r="S116" s="137">
        <v>45992.0</v>
      </c>
      <c r="T116" s="137">
        <v>46356.0</v>
      </c>
    </row>
    <row r="117" ht="18.0" customHeight="1">
      <c r="A117" s="134" t="s">
        <v>144</v>
      </c>
      <c r="B117" s="134" t="s">
        <v>38</v>
      </c>
      <c r="C117" s="134" t="s">
        <v>39</v>
      </c>
      <c r="D117" s="135">
        <v>1400.0</v>
      </c>
      <c r="E117" s="136">
        <v>1100.0</v>
      </c>
      <c r="F117" s="136">
        <v>0.0</v>
      </c>
      <c r="G117" s="136">
        <v>0.0</v>
      </c>
      <c r="H117" s="136">
        <v>0.0</v>
      </c>
      <c r="I117" s="136">
        <v>1100.0</v>
      </c>
      <c r="J117" s="136">
        <v>0.0</v>
      </c>
      <c r="K117" s="136">
        <v>0.0</v>
      </c>
      <c r="L117" s="136">
        <v>0.0</v>
      </c>
      <c r="M117" s="136">
        <v>0.0</v>
      </c>
      <c r="N117" s="136">
        <v>0.0</v>
      </c>
      <c r="O117" s="136">
        <v>0.0</v>
      </c>
      <c r="P117" s="136">
        <v>0.0</v>
      </c>
      <c r="Q117" s="136">
        <v>0.0</v>
      </c>
      <c r="R117" s="136">
        <v>0.0</v>
      </c>
      <c r="S117" s="137">
        <v>45839.0</v>
      </c>
      <c r="T117" s="137">
        <v>46203.0</v>
      </c>
    </row>
    <row r="118" ht="18.0" customHeight="1">
      <c r="A118" s="134" t="s">
        <v>145</v>
      </c>
      <c r="B118" s="134" t="s">
        <v>104</v>
      </c>
      <c r="C118" s="134" t="s">
        <v>39</v>
      </c>
      <c r="D118" s="135">
        <v>1400.0</v>
      </c>
      <c r="E118" s="136">
        <v>1350.0</v>
      </c>
      <c r="F118" s="136">
        <v>0.0</v>
      </c>
      <c r="G118" s="136">
        <v>0.0</v>
      </c>
      <c r="H118" s="136">
        <v>0.0</v>
      </c>
      <c r="I118" s="136">
        <v>334.0</v>
      </c>
      <c r="J118" s="136">
        <v>0.0</v>
      </c>
      <c r="K118" s="136">
        <v>0.0</v>
      </c>
      <c r="L118" s="136">
        <v>1016.0</v>
      </c>
      <c r="M118" s="136">
        <v>0.0</v>
      </c>
      <c r="N118" s="136">
        <v>0.0</v>
      </c>
      <c r="O118" s="136">
        <v>0.0</v>
      </c>
      <c r="P118" s="136">
        <v>0.0</v>
      </c>
      <c r="Q118" s="136">
        <v>0.0</v>
      </c>
      <c r="R118" s="136">
        <v>0.0</v>
      </c>
      <c r="S118" s="137">
        <v>45639.0</v>
      </c>
      <c r="T118" s="137">
        <v>46003.0</v>
      </c>
    </row>
    <row r="119" ht="18.0" customHeight="1">
      <c r="A119" s="134" t="s">
        <v>146</v>
      </c>
      <c r="B119" s="134" t="s">
        <v>38</v>
      </c>
      <c r="C119" s="134" t="s">
        <v>39</v>
      </c>
      <c r="D119" s="135">
        <v>1400.0</v>
      </c>
      <c r="E119" s="136">
        <v>950.0</v>
      </c>
      <c r="F119" s="136">
        <v>0.0</v>
      </c>
      <c r="G119" s="136">
        <v>0.0</v>
      </c>
      <c r="H119" s="136">
        <v>0.0</v>
      </c>
      <c r="I119" s="136">
        <v>950.0</v>
      </c>
      <c r="J119" s="136">
        <v>0.0</v>
      </c>
      <c r="K119" s="136">
        <v>0.0</v>
      </c>
      <c r="L119" s="136">
        <v>0.0</v>
      </c>
      <c r="M119" s="136">
        <v>0.0</v>
      </c>
      <c r="N119" s="136">
        <v>0.0</v>
      </c>
      <c r="O119" s="136">
        <v>0.0</v>
      </c>
      <c r="P119" s="136">
        <v>0.0</v>
      </c>
      <c r="Q119" s="136">
        <v>0.0</v>
      </c>
      <c r="R119" s="136">
        <v>0.0</v>
      </c>
      <c r="S119" s="137">
        <v>45413.0</v>
      </c>
      <c r="T119" s="137">
        <v>46356.0</v>
      </c>
    </row>
    <row r="120" ht="18.0" customHeight="1">
      <c r="A120" s="134" t="s">
        <v>147</v>
      </c>
      <c r="B120" s="134" t="s">
        <v>104</v>
      </c>
      <c r="C120" s="134" t="s">
        <v>39</v>
      </c>
      <c r="D120" s="135">
        <v>1400.0</v>
      </c>
      <c r="E120" s="136">
        <v>1300.0</v>
      </c>
      <c r="F120" s="136">
        <v>0.0</v>
      </c>
      <c r="G120" s="136">
        <v>0.0</v>
      </c>
      <c r="H120" s="136">
        <v>0.0</v>
      </c>
      <c r="I120" s="136">
        <v>1300.0</v>
      </c>
      <c r="J120" s="136">
        <v>0.0</v>
      </c>
      <c r="K120" s="136">
        <v>0.0</v>
      </c>
      <c r="L120" s="136">
        <v>0.0</v>
      </c>
      <c r="M120" s="136">
        <v>0.0</v>
      </c>
      <c r="N120" s="136">
        <v>0.0</v>
      </c>
      <c r="O120" s="136">
        <v>0.0</v>
      </c>
      <c r="P120" s="136">
        <v>0.0</v>
      </c>
      <c r="Q120" s="136">
        <v>0.0</v>
      </c>
      <c r="R120" s="136">
        <v>0.0</v>
      </c>
      <c r="S120" s="137">
        <v>45856.0</v>
      </c>
      <c r="T120" s="137">
        <v>46220.0</v>
      </c>
    </row>
    <row r="121" ht="18.0" customHeight="1">
      <c r="A121" s="134" t="s">
        <v>148</v>
      </c>
      <c r="B121" s="134" t="s">
        <v>115</v>
      </c>
      <c r="C121" s="134" t="s">
        <v>39</v>
      </c>
      <c r="D121" s="135">
        <v>1400.0</v>
      </c>
      <c r="E121" s="136">
        <v>995.0</v>
      </c>
      <c r="F121" s="136">
        <v>-5.0</v>
      </c>
      <c r="G121" s="136">
        <v>0.0</v>
      </c>
      <c r="H121" s="136">
        <v>0.0</v>
      </c>
      <c r="I121" s="136">
        <v>995.0</v>
      </c>
      <c r="J121" s="136">
        <v>0.0</v>
      </c>
      <c r="K121" s="136">
        <v>0.0</v>
      </c>
      <c r="L121" s="136">
        <v>0.0</v>
      </c>
      <c r="M121" s="136">
        <v>0.0</v>
      </c>
      <c r="N121" s="136">
        <v>0.0</v>
      </c>
      <c r="O121" s="136">
        <v>0.0</v>
      </c>
      <c r="P121" s="136">
        <v>0.0</v>
      </c>
      <c r="Q121" s="136">
        <v>0.0</v>
      </c>
      <c r="R121" s="136">
        <v>0.0</v>
      </c>
      <c r="S121" s="137">
        <v>45200.0</v>
      </c>
      <c r="T121" s="137">
        <v>45961.0</v>
      </c>
    </row>
    <row r="122" ht="18.0" customHeight="1">
      <c r="A122" s="134" t="s">
        <v>149</v>
      </c>
      <c r="B122" s="134" t="s">
        <v>104</v>
      </c>
      <c r="C122" s="134" t="s">
        <v>39</v>
      </c>
      <c r="D122" s="135">
        <v>1400.0</v>
      </c>
      <c r="E122" s="136">
        <v>1000.0</v>
      </c>
      <c r="F122" s="136">
        <v>0.0</v>
      </c>
      <c r="G122" s="136">
        <v>0.0</v>
      </c>
      <c r="H122" s="136">
        <v>0.0</v>
      </c>
      <c r="I122" s="136">
        <v>1000.0</v>
      </c>
      <c r="J122" s="136">
        <v>0.0</v>
      </c>
      <c r="K122" s="136">
        <v>0.0</v>
      </c>
      <c r="L122" s="136">
        <v>0.0</v>
      </c>
      <c r="M122" s="136">
        <v>0.0</v>
      </c>
      <c r="N122" s="136">
        <v>0.0</v>
      </c>
      <c r="O122" s="136">
        <v>0.0</v>
      </c>
      <c r="P122" s="136">
        <v>0.0</v>
      </c>
      <c r="Q122" s="136">
        <v>0.0</v>
      </c>
      <c r="R122" s="136">
        <v>0.0</v>
      </c>
      <c r="S122" s="137">
        <v>44805.0</v>
      </c>
      <c r="T122" s="137">
        <v>46203.0</v>
      </c>
    </row>
    <row r="123" ht="18.0" customHeight="1">
      <c r="A123" s="134" t="s">
        <v>150</v>
      </c>
      <c r="B123" s="134" t="s">
        <v>104</v>
      </c>
      <c r="C123" s="134" t="s">
        <v>39</v>
      </c>
      <c r="D123" s="135">
        <v>1400.0</v>
      </c>
      <c r="E123" s="136">
        <v>1395.0</v>
      </c>
      <c r="F123" s="136">
        <v>749.5</v>
      </c>
      <c r="G123" s="136">
        <v>0.0</v>
      </c>
      <c r="H123" s="136">
        <v>0.0</v>
      </c>
      <c r="I123" s="136">
        <v>1395.0</v>
      </c>
      <c r="J123" s="136">
        <v>0.0</v>
      </c>
      <c r="K123" s="136">
        <v>0.0</v>
      </c>
      <c r="L123" s="136">
        <v>0.0</v>
      </c>
      <c r="M123" s="136">
        <v>0.0</v>
      </c>
      <c r="N123" s="136">
        <v>0.0</v>
      </c>
      <c r="O123" s="136">
        <v>0.0</v>
      </c>
      <c r="P123" s="136">
        <v>0.0</v>
      </c>
      <c r="Q123" s="136">
        <v>0.0</v>
      </c>
      <c r="R123" s="136">
        <v>0.0</v>
      </c>
      <c r="S123" s="137">
        <v>45929.0</v>
      </c>
      <c r="T123" s="137">
        <v>46293.0</v>
      </c>
    </row>
    <row r="124" ht="18.0" customHeight="1">
      <c r="A124" s="134" t="s">
        <v>151</v>
      </c>
      <c r="B124" s="134" t="s">
        <v>115</v>
      </c>
      <c r="C124" s="134" t="s">
        <v>39</v>
      </c>
      <c r="D124" s="135">
        <v>1400.0</v>
      </c>
      <c r="E124" s="136">
        <v>1250.0</v>
      </c>
      <c r="F124" s="136">
        <v>0.0</v>
      </c>
      <c r="G124" s="136">
        <v>0.0</v>
      </c>
      <c r="H124" s="136">
        <v>0.0</v>
      </c>
      <c r="I124" s="136">
        <v>1250.0</v>
      </c>
      <c r="J124" s="136">
        <v>0.0</v>
      </c>
      <c r="K124" s="136">
        <v>0.0</v>
      </c>
      <c r="L124" s="136">
        <v>0.0</v>
      </c>
      <c r="M124" s="136">
        <v>0.0</v>
      </c>
      <c r="N124" s="136">
        <v>0.0</v>
      </c>
      <c r="O124" s="136">
        <v>0.0</v>
      </c>
      <c r="P124" s="136">
        <v>0.0</v>
      </c>
      <c r="Q124" s="136">
        <v>0.0</v>
      </c>
      <c r="R124" s="136">
        <v>0.0</v>
      </c>
      <c r="S124" s="137">
        <v>45505.0</v>
      </c>
      <c r="T124" s="137">
        <v>46356.0</v>
      </c>
    </row>
    <row r="125" ht="18.0" customHeight="1">
      <c r="A125" s="134" t="s">
        <v>152</v>
      </c>
      <c r="B125" s="134" t="s">
        <v>115</v>
      </c>
      <c r="C125" s="134" t="s">
        <v>39</v>
      </c>
      <c r="D125" s="135">
        <v>1400.0</v>
      </c>
      <c r="E125" s="136">
        <v>1400.0</v>
      </c>
      <c r="F125" s="136">
        <v>0.0</v>
      </c>
      <c r="G125" s="136">
        <v>0.0</v>
      </c>
      <c r="H125" s="136">
        <v>0.0</v>
      </c>
      <c r="I125" s="136">
        <v>636.0</v>
      </c>
      <c r="J125" s="136">
        <v>0.0</v>
      </c>
      <c r="K125" s="136">
        <v>0.0</v>
      </c>
      <c r="L125" s="136">
        <v>714.0</v>
      </c>
      <c r="M125" s="136">
        <v>0.0</v>
      </c>
      <c r="N125" s="136">
        <v>0.0</v>
      </c>
      <c r="O125" s="136">
        <v>50.0</v>
      </c>
      <c r="P125" s="136">
        <v>0.0</v>
      </c>
      <c r="Q125" s="136">
        <v>0.0</v>
      </c>
      <c r="R125" s="136">
        <v>0.0</v>
      </c>
      <c r="S125" s="137">
        <v>45934.0</v>
      </c>
      <c r="T125" s="137">
        <v>46298.0</v>
      </c>
    </row>
    <row r="126" ht="18.0" customHeight="1">
      <c r="A126" s="134" t="s">
        <v>153</v>
      </c>
      <c r="B126" s="134" t="s">
        <v>115</v>
      </c>
      <c r="C126" s="134" t="s">
        <v>39</v>
      </c>
      <c r="D126" s="135">
        <v>1400.0</v>
      </c>
      <c r="E126" s="136">
        <v>1420.0</v>
      </c>
      <c r="F126" s="136">
        <v>0.0</v>
      </c>
      <c r="G126" s="136">
        <v>0.0</v>
      </c>
      <c r="H126" s="136">
        <v>0.0</v>
      </c>
      <c r="I126" s="136">
        <v>1420.0</v>
      </c>
      <c r="J126" s="136">
        <v>0.0</v>
      </c>
      <c r="K126" s="136">
        <v>0.0</v>
      </c>
      <c r="L126" s="136">
        <v>0.0</v>
      </c>
      <c r="M126" s="136">
        <v>0.0</v>
      </c>
      <c r="N126" s="136">
        <v>0.0</v>
      </c>
      <c r="O126" s="136">
        <v>0.0</v>
      </c>
      <c r="P126" s="136">
        <v>0.0</v>
      </c>
      <c r="Q126" s="136">
        <v>0.0</v>
      </c>
      <c r="R126" s="136">
        <v>0.0</v>
      </c>
      <c r="S126" s="137">
        <v>45839.0</v>
      </c>
      <c r="T126" s="137">
        <v>46203.0</v>
      </c>
    </row>
    <row r="127" ht="18.0" customHeight="1">
      <c r="A127" s="134" t="s">
        <v>154</v>
      </c>
      <c r="B127" s="134" t="s">
        <v>115</v>
      </c>
      <c r="C127" s="134" t="s">
        <v>39</v>
      </c>
      <c r="D127" s="135">
        <v>1400.0</v>
      </c>
      <c r="E127" s="136">
        <v>1350.0</v>
      </c>
      <c r="F127" s="136">
        <v>37.5</v>
      </c>
      <c r="G127" s="136">
        <v>0.0</v>
      </c>
      <c r="H127" s="136">
        <v>0.0</v>
      </c>
      <c r="I127" s="136">
        <v>1350.0</v>
      </c>
      <c r="J127" s="136">
        <v>0.0</v>
      </c>
      <c r="K127" s="136">
        <v>0.0</v>
      </c>
      <c r="L127" s="136">
        <v>0.0</v>
      </c>
      <c r="M127" s="136">
        <v>0.0</v>
      </c>
      <c r="N127" s="136">
        <v>0.0</v>
      </c>
      <c r="O127" s="136">
        <v>0.0</v>
      </c>
      <c r="P127" s="136">
        <v>0.0</v>
      </c>
      <c r="Q127" s="136">
        <v>0.0</v>
      </c>
      <c r="R127" s="136">
        <v>0.0</v>
      </c>
      <c r="S127" s="137">
        <v>45458.0</v>
      </c>
      <c r="T127" s="137">
        <v>46235.0</v>
      </c>
    </row>
    <row r="128" ht="18.0" customHeight="1">
      <c r="A128" s="134" t="s">
        <v>155</v>
      </c>
      <c r="B128" s="134" t="s">
        <v>115</v>
      </c>
      <c r="C128" s="134" t="s">
        <v>47</v>
      </c>
      <c r="D128" s="135">
        <v>1400.0</v>
      </c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7"/>
      <c r="T128" s="137"/>
    </row>
    <row r="129" ht="18.0" customHeight="1">
      <c r="A129" s="138" t="s">
        <v>156</v>
      </c>
      <c r="B129" s="138"/>
      <c r="C129" s="138" t="s">
        <v>157</v>
      </c>
      <c r="D129" s="139">
        <v>71400.0</v>
      </c>
      <c r="E129" s="140">
        <v>45436.0</v>
      </c>
      <c r="F129" s="140">
        <v>9662.71</v>
      </c>
      <c r="G129" s="140">
        <v>0.0</v>
      </c>
      <c r="H129" s="140">
        <v>0.0</v>
      </c>
      <c r="I129" s="140">
        <v>38461.0</v>
      </c>
      <c r="J129" s="140">
        <v>0.0</v>
      </c>
      <c r="K129" s="140">
        <v>0.0</v>
      </c>
      <c r="L129" s="140">
        <v>6870.0</v>
      </c>
      <c r="M129" s="140">
        <v>0.0</v>
      </c>
      <c r="N129" s="140">
        <v>0.0</v>
      </c>
      <c r="O129" s="140">
        <v>75.0</v>
      </c>
      <c r="P129" s="140">
        <v>0.0</v>
      </c>
      <c r="Q129" s="140">
        <v>0.0</v>
      </c>
      <c r="R129" s="140">
        <v>30.0</v>
      </c>
      <c r="S129" s="141"/>
      <c r="T129" s="141"/>
    </row>
    <row r="130" ht="18.0" customHeight="1">
      <c r="A130" s="133" t="s">
        <v>158</v>
      </c>
    </row>
    <row r="131" ht="18.0" customHeight="1">
      <c r="A131" s="134" t="s">
        <v>159</v>
      </c>
      <c r="B131" s="134" t="s">
        <v>56</v>
      </c>
      <c r="C131" s="134" t="s">
        <v>39</v>
      </c>
      <c r="D131" s="135">
        <v>800.0</v>
      </c>
      <c r="E131" s="136">
        <v>725.0</v>
      </c>
      <c r="F131" s="136">
        <v>122.0</v>
      </c>
      <c r="G131" s="136">
        <v>0.0</v>
      </c>
      <c r="H131" s="136">
        <v>0.0</v>
      </c>
      <c r="I131" s="136">
        <v>217.0</v>
      </c>
      <c r="J131" s="136">
        <v>0.0</v>
      </c>
      <c r="K131" s="136">
        <v>0.0</v>
      </c>
      <c r="L131" s="136">
        <v>0.0</v>
      </c>
      <c r="M131" s="136">
        <v>0.0</v>
      </c>
      <c r="N131" s="136">
        <v>508.0</v>
      </c>
      <c r="O131" s="136">
        <v>0.0</v>
      </c>
      <c r="P131" s="136">
        <v>0.0</v>
      </c>
      <c r="Q131" s="136">
        <v>0.0</v>
      </c>
      <c r="R131" s="136">
        <v>0.0</v>
      </c>
      <c r="S131" s="137">
        <v>45896.0</v>
      </c>
      <c r="T131" s="137">
        <v>46260.0</v>
      </c>
    </row>
    <row r="132" ht="18.0" customHeight="1">
      <c r="A132" s="134" t="s">
        <v>160</v>
      </c>
      <c r="B132" s="134" t="s">
        <v>56</v>
      </c>
      <c r="C132" s="134" t="s">
        <v>39</v>
      </c>
      <c r="D132" s="135">
        <v>800.0</v>
      </c>
      <c r="E132" s="136">
        <v>900.0</v>
      </c>
      <c r="F132" s="136">
        <v>0.0</v>
      </c>
      <c r="G132" s="136">
        <v>900.0</v>
      </c>
      <c r="H132" s="136">
        <v>0.0</v>
      </c>
      <c r="I132" s="136">
        <v>0.0</v>
      </c>
      <c r="J132" s="136">
        <v>0.0</v>
      </c>
      <c r="K132" s="136">
        <v>0.0</v>
      </c>
      <c r="L132" s="136">
        <v>0.0</v>
      </c>
      <c r="M132" s="136">
        <v>0.0</v>
      </c>
      <c r="N132" s="136">
        <v>0.0</v>
      </c>
      <c r="O132" s="136">
        <v>0.0</v>
      </c>
      <c r="P132" s="136">
        <v>0.0</v>
      </c>
      <c r="Q132" s="136">
        <v>0.0</v>
      </c>
      <c r="R132" s="136">
        <v>0.0</v>
      </c>
      <c r="S132" s="137">
        <v>45166.0</v>
      </c>
      <c r="T132" s="137">
        <v>46021.0</v>
      </c>
    </row>
    <row r="133" ht="18.0" customHeight="1">
      <c r="A133" s="134" t="s">
        <v>161</v>
      </c>
      <c r="B133" s="134" t="s">
        <v>56</v>
      </c>
      <c r="C133" s="134" t="s">
        <v>39</v>
      </c>
      <c r="D133" s="135">
        <v>800.0</v>
      </c>
      <c r="E133" s="136">
        <v>731.0</v>
      </c>
      <c r="F133" s="136">
        <v>432.0</v>
      </c>
      <c r="G133" s="136">
        <v>0.0</v>
      </c>
      <c r="H133" s="136">
        <v>0.0</v>
      </c>
      <c r="I133" s="136">
        <v>432.0</v>
      </c>
      <c r="J133" s="136">
        <v>0.0</v>
      </c>
      <c r="K133" s="136">
        <v>0.0</v>
      </c>
      <c r="L133" s="136">
        <v>0.0</v>
      </c>
      <c r="M133" s="136">
        <v>0.0</v>
      </c>
      <c r="N133" s="136">
        <v>299.0</v>
      </c>
      <c r="O133" s="136">
        <v>0.0</v>
      </c>
      <c r="P133" s="136">
        <v>0.0</v>
      </c>
      <c r="Q133" s="136">
        <v>0.0</v>
      </c>
      <c r="R133" s="136">
        <v>0.0</v>
      </c>
      <c r="S133" s="137">
        <v>45116.0</v>
      </c>
      <c r="T133" s="137">
        <v>46266.0</v>
      </c>
    </row>
    <row r="134" ht="18.0" customHeight="1">
      <c r="A134" s="134" t="s">
        <v>162</v>
      </c>
      <c r="B134" s="134" t="s">
        <v>56</v>
      </c>
      <c r="C134" s="134" t="s">
        <v>39</v>
      </c>
      <c r="D134" s="135">
        <v>800.0</v>
      </c>
      <c r="E134" s="136">
        <v>825.0</v>
      </c>
      <c r="F134" s="136">
        <v>0.0</v>
      </c>
      <c r="G134" s="136">
        <v>0.0</v>
      </c>
      <c r="H134" s="136">
        <v>50.0</v>
      </c>
      <c r="I134" s="136">
        <v>775.0</v>
      </c>
      <c r="J134" s="136">
        <v>0.0</v>
      </c>
      <c r="K134" s="136">
        <v>0.0</v>
      </c>
      <c r="L134" s="136">
        <v>0.0</v>
      </c>
      <c r="M134" s="136">
        <v>0.0</v>
      </c>
      <c r="N134" s="136">
        <v>0.0</v>
      </c>
      <c r="O134" s="136">
        <v>0.0</v>
      </c>
      <c r="P134" s="136">
        <v>0.0</v>
      </c>
      <c r="Q134" s="136">
        <v>0.0</v>
      </c>
      <c r="R134" s="136">
        <v>0.0</v>
      </c>
      <c r="S134" s="137">
        <v>45292.0</v>
      </c>
      <c r="T134" s="137">
        <v>45930.0</v>
      </c>
    </row>
    <row r="135" ht="18.0" customHeight="1">
      <c r="A135" s="134" t="s">
        <v>163</v>
      </c>
      <c r="B135" s="134" t="s">
        <v>56</v>
      </c>
      <c r="C135" s="134" t="s">
        <v>39</v>
      </c>
      <c r="D135" s="135">
        <v>800.0</v>
      </c>
      <c r="E135" s="136">
        <v>725.0</v>
      </c>
      <c r="F135" s="136">
        <v>0.0</v>
      </c>
      <c r="G135" s="136">
        <v>0.0</v>
      </c>
      <c r="H135" s="136">
        <v>0.0</v>
      </c>
      <c r="I135" s="136">
        <v>340.0</v>
      </c>
      <c r="J135" s="136">
        <v>0.0</v>
      </c>
      <c r="K135" s="136">
        <v>0.0</v>
      </c>
      <c r="L135" s="136">
        <v>0.0</v>
      </c>
      <c r="M135" s="136">
        <v>0.0</v>
      </c>
      <c r="N135" s="136">
        <v>385.0</v>
      </c>
      <c r="O135" s="136">
        <v>0.0</v>
      </c>
      <c r="P135" s="136">
        <v>0.0</v>
      </c>
      <c r="Q135" s="136">
        <v>0.0</v>
      </c>
      <c r="R135" s="136">
        <v>0.0</v>
      </c>
      <c r="S135" s="137">
        <v>45627.0</v>
      </c>
      <c r="T135" s="137">
        <v>45992.0</v>
      </c>
    </row>
    <row r="136" ht="18.0" customHeight="1">
      <c r="A136" s="134" t="s">
        <v>164</v>
      </c>
      <c r="B136" s="134" t="s">
        <v>56</v>
      </c>
      <c r="C136" s="134" t="s">
        <v>39</v>
      </c>
      <c r="D136" s="135">
        <v>800.0</v>
      </c>
      <c r="E136" s="136">
        <v>800.0</v>
      </c>
      <c r="F136" s="136">
        <v>-143.0</v>
      </c>
      <c r="G136" s="136">
        <v>0.0</v>
      </c>
      <c r="H136" s="136">
        <v>0.0</v>
      </c>
      <c r="I136" s="136">
        <v>214.0</v>
      </c>
      <c r="J136" s="136">
        <v>0.0</v>
      </c>
      <c r="K136" s="136">
        <v>0.0</v>
      </c>
      <c r="L136" s="136">
        <v>0.0</v>
      </c>
      <c r="M136" s="136">
        <v>586.0</v>
      </c>
      <c r="N136" s="136">
        <v>0.0</v>
      </c>
      <c r="O136" s="136">
        <v>0.0</v>
      </c>
      <c r="P136" s="136">
        <v>0.0</v>
      </c>
      <c r="Q136" s="136">
        <v>0.0</v>
      </c>
      <c r="R136" s="136">
        <v>0.0</v>
      </c>
      <c r="S136" s="137">
        <v>45261.0</v>
      </c>
      <c r="T136" s="137">
        <v>46326.0</v>
      </c>
    </row>
    <row r="137" ht="18.0" customHeight="1">
      <c r="A137" s="134" t="s">
        <v>165</v>
      </c>
      <c r="B137" s="134" t="s">
        <v>56</v>
      </c>
      <c r="C137" s="134" t="s">
        <v>39</v>
      </c>
      <c r="D137" s="135">
        <v>800.0</v>
      </c>
      <c r="E137" s="136">
        <v>725.0</v>
      </c>
      <c r="F137" s="136">
        <v>0.0</v>
      </c>
      <c r="G137" s="136">
        <v>0.0</v>
      </c>
      <c r="H137" s="136">
        <v>0.0</v>
      </c>
      <c r="I137" s="136">
        <v>2.0</v>
      </c>
      <c r="J137" s="136">
        <v>0.0</v>
      </c>
      <c r="K137" s="136">
        <v>0.0</v>
      </c>
      <c r="L137" s="136">
        <v>0.0</v>
      </c>
      <c r="M137" s="136">
        <v>0.0</v>
      </c>
      <c r="N137" s="136">
        <v>723.0</v>
      </c>
      <c r="O137" s="136">
        <v>0.0</v>
      </c>
      <c r="P137" s="136">
        <v>0.0</v>
      </c>
      <c r="Q137" s="136">
        <v>0.0</v>
      </c>
      <c r="R137" s="136">
        <v>0.0</v>
      </c>
      <c r="S137" s="137">
        <v>45916.0</v>
      </c>
      <c r="T137" s="137">
        <v>46280.0</v>
      </c>
    </row>
    <row r="138" ht="18.0" customHeight="1">
      <c r="A138" s="134" t="s">
        <v>166</v>
      </c>
      <c r="B138" s="134" t="s">
        <v>56</v>
      </c>
      <c r="C138" s="134" t="s">
        <v>39</v>
      </c>
      <c r="D138" s="135">
        <v>800.0</v>
      </c>
      <c r="E138" s="136">
        <v>740.0</v>
      </c>
      <c r="F138" s="136">
        <v>837.25</v>
      </c>
      <c r="G138" s="136">
        <v>0.0</v>
      </c>
      <c r="H138" s="136">
        <v>0.0</v>
      </c>
      <c r="I138" s="136">
        <v>18.0</v>
      </c>
      <c r="J138" s="136">
        <v>0.0</v>
      </c>
      <c r="K138" s="136">
        <v>0.0</v>
      </c>
      <c r="L138" s="136">
        <v>0.0</v>
      </c>
      <c r="M138" s="136">
        <v>0.0</v>
      </c>
      <c r="N138" s="136">
        <v>707.0</v>
      </c>
      <c r="O138" s="136">
        <v>0.0</v>
      </c>
      <c r="P138" s="136">
        <v>0.0</v>
      </c>
      <c r="Q138" s="136">
        <v>0.0</v>
      </c>
      <c r="R138" s="136">
        <v>15.0</v>
      </c>
      <c r="S138" s="137">
        <v>46031.0</v>
      </c>
      <c r="T138" s="137">
        <v>46395.0</v>
      </c>
    </row>
    <row r="139" ht="18.0" customHeight="1">
      <c r="A139" s="134" t="s">
        <v>167</v>
      </c>
      <c r="B139" s="134" t="s">
        <v>168</v>
      </c>
      <c r="C139" s="134" t="s">
        <v>39</v>
      </c>
      <c r="D139" s="135">
        <v>1000.0</v>
      </c>
      <c r="E139" s="136">
        <v>1050.0</v>
      </c>
      <c r="F139" s="136">
        <v>210.0</v>
      </c>
      <c r="G139" s="136">
        <v>0.0</v>
      </c>
      <c r="H139" s="136">
        <v>0.0</v>
      </c>
      <c r="I139" s="136">
        <v>50.0</v>
      </c>
      <c r="J139" s="136">
        <v>0.0</v>
      </c>
      <c r="K139" s="136">
        <v>1000.0</v>
      </c>
      <c r="L139" s="136">
        <v>0.0</v>
      </c>
      <c r="M139" s="136">
        <v>0.0</v>
      </c>
      <c r="N139" s="136">
        <v>0.0</v>
      </c>
      <c r="O139" s="136">
        <v>0.0</v>
      </c>
      <c r="P139" s="136">
        <v>0.0</v>
      </c>
      <c r="Q139" s="136">
        <v>0.0</v>
      </c>
      <c r="R139" s="136">
        <v>0.0</v>
      </c>
      <c r="S139" s="137">
        <v>45474.0</v>
      </c>
      <c r="T139" s="137">
        <v>46203.0</v>
      </c>
    </row>
    <row r="140" ht="18.0" customHeight="1">
      <c r="A140" s="134" t="s">
        <v>169</v>
      </c>
      <c r="B140" s="134" t="s">
        <v>168</v>
      </c>
      <c r="C140" s="134" t="s">
        <v>39</v>
      </c>
      <c r="D140" s="135">
        <v>1000.0</v>
      </c>
      <c r="E140" s="136">
        <v>1000.0</v>
      </c>
      <c r="F140" s="136">
        <v>0.0</v>
      </c>
      <c r="G140" s="136">
        <v>0.0</v>
      </c>
      <c r="H140" s="136">
        <v>0.0</v>
      </c>
      <c r="I140" s="136">
        <v>49.0</v>
      </c>
      <c r="J140" s="136">
        <v>0.0</v>
      </c>
      <c r="K140" s="136">
        <v>0.0</v>
      </c>
      <c r="L140" s="136">
        <v>0.0</v>
      </c>
      <c r="M140" s="136">
        <v>951.0</v>
      </c>
      <c r="N140" s="136">
        <v>0.0</v>
      </c>
      <c r="O140" s="136">
        <v>0.0</v>
      </c>
      <c r="P140" s="136">
        <v>0.0</v>
      </c>
      <c r="Q140" s="136">
        <v>0.0</v>
      </c>
      <c r="R140" s="136">
        <v>0.0</v>
      </c>
      <c r="S140" s="137">
        <v>45066.0</v>
      </c>
      <c r="T140" s="137"/>
    </row>
    <row r="141" ht="18.0" customHeight="1">
      <c r="A141" s="134" t="s">
        <v>170</v>
      </c>
      <c r="B141" s="134" t="s">
        <v>168</v>
      </c>
      <c r="C141" s="134" t="s">
        <v>39</v>
      </c>
      <c r="D141" s="135">
        <v>1000.0</v>
      </c>
      <c r="E141" s="136">
        <v>1225.0</v>
      </c>
      <c r="F141" s="136">
        <v>0.0</v>
      </c>
      <c r="G141" s="136">
        <v>0.0</v>
      </c>
      <c r="H141" s="136">
        <v>50.0</v>
      </c>
      <c r="I141" s="136">
        <v>1150.0</v>
      </c>
      <c r="J141" s="136">
        <v>0.0</v>
      </c>
      <c r="K141" s="136">
        <v>0.0</v>
      </c>
      <c r="L141" s="136">
        <v>0.0</v>
      </c>
      <c r="M141" s="136">
        <v>0.0</v>
      </c>
      <c r="N141" s="136">
        <v>0.0</v>
      </c>
      <c r="O141" s="136">
        <v>25.0</v>
      </c>
      <c r="P141" s="136">
        <v>0.0</v>
      </c>
      <c r="Q141" s="136">
        <v>0.0</v>
      </c>
      <c r="R141" s="136">
        <v>0.0</v>
      </c>
      <c r="S141" s="137">
        <v>45338.0</v>
      </c>
      <c r="T141" s="137">
        <v>46173.0</v>
      </c>
    </row>
    <row r="142" ht="18.0" customHeight="1">
      <c r="A142" s="134" t="s">
        <v>171</v>
      </c>
      <c r="B142" s="134" t="s">
        <v>168</v>
      </c>
      <c r="C142" s="134" t="s">
        <v>39</v>
      </c>
      <c r="D142" s="135">
        <v>1000.0</v>
      </c>
      <c r="E142" s="136">
        <v>1225.0</v>
      </c>
      <c r="F142" s="136">
        <v>-1225.0</v>
      </c>
      <c r="G142" s="136">
        <v>0.0</v>
      </c>
      <c r="H142" s="136">
        <v>0.0</v>
      </c>
      <c r="I142" s="136">
        <v>1150.0</v>
      </c>
      <c r="J142" s="136">
        <v>0.0</v>
      </c>
      <c r="K142" s="136">
        <v>0.0</v>
      </c>
      <c r="L142" s="136">
        <v>0.0</v>
      </c>
      <c r="M142" s="136">
        <v>0.0</v>
      </c>
      <c r="N142" s="136">
        <v>0.0</v>
      </c>
      <c r="O142" s="136">
        <v>75.0</v>
      </c>
      <c r="P142" s="136">
        <v>0.0</v>
      </c>
      <c r="Q142" s="136">
        <v>0.0</v>
      </c>
      <c r="R142" s="136">
        <v>0.0</v>
      </c>
      <c r="S142" s="137">
        <v>45926.0</v>
      </c>
      <c r="T142" s="137">
        <v>46290.0</v>
      </c>
    </row>
    <row r="143" ht="18.0" customHeight="1">
      <c r="A143" s="134" t="s">
        <v>172</v>
      </c>
      <c r="B143" s="134" t="s">
        <v>168</v>
      </c>
      <c r="C143" s="134" t="s">
        <v>39</v>
      </c>
      <c r="D143" s="135">
        <v>1000.0</v>
      </c>
      <c r="E143" s="136">
        <v>1280.0</v>
      </c>
      <c r="F143" s="136">
        <v>50.0</v>
      </c>
      <c r="G143" s="136">
        <v>0.0</v>
      </c>
      <c r="H143" s="136">
        <v>80.0</v>
      </c>
      <c r="I143" s="136">
        <v>0.0</v>
      </c>
      <c r="J143" s="136">
        <v>0.0</v>
      </c>
      <c r="K143" s="136">
        <v>1200.0</v>
      </c>
      <c r="L143" s="136">
        <v>0.0</v>
      </c>
      <c r="M143" s="136">
        <v>0.0</v>
      </c>
      <c r="N143" s="136">
        <v>0.0</v>
      </c>
      <c r="O143" s="136">
        <v>0.0</v>
      </c>
      <c r="P143" s="136">
        <v>0.0</v>
      </c>
      <c r="Q143" s="136">
        <v>0.0</v>
      </c>
      <c r="R143" s="136">
        <v>0.0</v>
      </c>
      <c r="S143" s="137">
        <v>45455.0</v>
      </c>
      <c r="T143" s="137">
        <v>46387.0</v>
      </c>
    </row>
    <row r="144" ht="18.0" customHeight="1">
      <c r="A144" s="134" t="s">
        <v>173</v>
      </c>
      <c r="B144" s="134" t="s">
        <v>168</v>
      </c>
      <c r="C144" s="134" t="s">
        <v>39</v>
      </c>
      <c r="D144" s="135">
        <v>1000.0</v>
      </c>
      <c r="E144" s="136">
        <v>1125.0</v>
      </c>
      <c r="F144" s="136">
        <v>0.0</v>
      </c>
      <c r="G144" s="136">
        <v>0.0</v>
      </c>
      <c r="H144" s="136">
        <v>0.0</v>
      </c>
      <c r="I144" s="136">
        <v>1125.0</v>
      </c>
      <c r="J144" s="136">
        <v>0.0</v>
      </c>
      <c r="K144" s="136">
        <v>0.0</v>
      </c>
      <c r="L144" s="136">
        <v>0.0</v>
      </c>
      <c r="M144" s="136">
        <v>0.0</v>
      </c>
      <c r="N144" s="136">
        <v>0.0</v>
      </c>
      <c r="O144" s="136">
        <v>0.0</v>
      </c>
      <c r="P144" s="136">
        <v>0.0</v>
      </c>
      <c r="Q144" s="136">
        <v>0.0</v>
      </c>
      <c r="R144" s="136">
        <v>0.0</v>
      </c>
      <c r="S144" s="137">
        <v>45996.0</v>
      </c>
      <c r="T144" s="137">
        <v>46356.0</v>
      </c>
    </row>
    <row r="145" ht="18.0" customHeight="1">
      <c r="A145" s="134" t="s">
        <v>174</v>
      </c>
      <c r="B145" s="134" t="s">
        <v>168</v>
      </c>
      <c r="C145" s="134" t="s">
        <v>39</v>
      </c>
      <c r="D145" s="135">
        <v>1000.0</v>
      </c>
      <c r="E145" s="136">
        <v>900.0</v>
      </c>
      <c r="F145" s="136">
        <v>421.0</v>
      </c>
      <c r="G145" s="136">
        <v>0.0</v>
      </c>
      <c r="H145" s="136">
        <v>0.0</v>
      </c>
      <c r="I145" s="136">
        <v>479.0</v>
      </c>
      <c r="J145" s="136">
        <v>0.0</v>
      </c>
      <c r="K145" s="136">
        <v>0.0</v>
      </c>
      <c r="L145" s="136">
        <v>0.0</v>
      </c>
      <c r="M145" s="136">
        <v>421.0</v>
      </c>
      <c r="N145" s="136">
        <v>0.0</v>
      </c>
      <c r="O145" s="136">
        <v>0.0</v>
      </c>
      <c r="P145" s="136">
        <v>0.0</v>
      </c>
      <c r="Q145" s="136">
        <v>0.0</v>
      </c>
      <c r="R145" s="136">
        <v>0.0</v>
      </c>
      <c r="S145" s="137">
        <v>45199.0</v>
      </c>
      <c r="T145" s="137"/>
    </row>
    <row r="146" ht="18.0" customHeight="1">
      <c r="A146" s="134" t="s">
        <v>175</v>
      </c>
      <c r="B146" s="134" t="s">
        <v>168</v>
      </c>
      <c r="C146" s="134" t="s">
        <v>39</v>
      </c>
      <c r="D146" s="135">
        <v>1000.0</v>
      </c>
      <c r="E146" s="136">
        <v>1100.0</v>
      </c>
      <c r="F146" s="136">
        <v>0.0</v>
      </c>
      <c r="G146" s="136">
        <v>0.0</v>
      </c>
      <c r="H146" s="136">
        <v>0.0</v>
      </c>
      <c r="I146" s="136">
        <v>1100.0</v>
      </c>
      <c r="J146" s="136">
        <v>0.0</v>
      </c>
      <c r="K146" s="136">
        <v>0.0</v>
      </c>
      <c r="L146" s="136">
        <v>0.0</v>
      </c>
      <c r="M146" s="136">
        <v>0.0</v>
      </c>
      <c r="N146" s="136">
        <v>0.0</v>
      </c>
      <c r="O146" s="136">
        <v>0.0</v>
      </c>
      <c r="P146" s="136">
        <v>0.0</v>
      </c>
      <c r="Q146" s="136">
        <v>0.0</v>
      </c>
      <c r="R146" s="136">
        <v>0.0</v>
      </c>
      <c r="S146" s="137">
        <v>45228.0</v>
      </c>
      <c r="T146" s="137">
        <v>46568.0</v>
      </c>
    </row>
    <row r="147" ht="18.0" customHeight="1">
      <c r="A147" s="134" t="s">
        <v>176</v>
      </c>
      <c r="B147" s="134" t="s">
        <v>38</v>
      </c>
      <c r="C147" s="134" t="s">
        <v>39</v>
      </c>
      <c r="D147" s="135">
        <v>850.0</v>
      </c>
      <c r="E147" s="136">
        <v>838.0</v>
      </c>
      <c r="F147" s="136">
        <v>443.0</v>
      </c>
      <c r="G147" s="136">
        <v>0.0</v>
      </c>
      <c r="H147" s="136">
        <v>0.0</v>
      </c>
      <c r="I147" s="136">
        <v>443.0</v>
      </c>
      <c r="J147" s="136">
        <v>0.0</v>
      </c>
      <c r="K147" s="136">
        <v>0.0</v>
      </c>
      <c r="L147" s="136">
        <v>0.0</v>
      </c>
      <c r="M147" s="136">
        <v>0.0</v>
      </c>
      <c r="N147" s="136">
        <v>395.0</v>
      </c>
      <c r="O147" s="136">
        <v>0.0</v>
      </c>
      <c r="P147" s="136">
        <v>0.0</v>
      </c>
      <c r="Q147" s="136">
        <v>0.0</v>
      </c>
      <c r="R147" s="136">
        <v>0.0</v>
      </c>
      <c r="S147" s="137">
        <v>44997.0</v>
      </c>
      <c r="T147" s="137">
        <v>46082.0</v>
      </c>
    </row>
    <row r="148" ht="18.0" customHeight="1">
      <c r="A148" s="134" t="s">
        <v>177</v>
      </c>
      <c r="B148" s="134" t="s">
        <v>38</v>
      </c>
      <c r="C148" s="134" t="s">
        <v>47</v>
      </c>
      <c r="D148" s="135">
        <v>850.0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7"/>
      <c r="T148" s="137"/>
    </row>
    <row r="149" ht="18.0" customHeight="1">
      <c r="A149" s="134" t="s">
        <v>179</v>
      </c>
      <c r="B149" s="134" t="s">
        <v>38</v>
      </c>
      <c r="C149" s="134" t="s">
        <v>39</v>
      </c>
      <c r="D149" s="135">
        <v>850.0</v>
      </c>
      <c r="E149" s="136">
        <v>1020.0</v>
      </c>
      <c r="F149" s="136">
        <v>0.0</v>
      </c>
      <c r="G149" s="136">
        <v>0.0</v>
      </c>
      <c r="H149" s="136">
        <v>0.0</v>
      </c>
      <c r="I149" s="136">
        <v>995.0</v>
      </c>
      <c r="J149" s="136">
        <v>0.0</v>
      </c>
      <c r="K149" s="136">
        <v>0.0</v>
      </c>
      <c r="L149" s="136">
        <v>0.0</v>
      </c>
      <c r="M149" s="136">
        <v>0.0</v>
      </c>
      <c r="N149" s="136">
        <v>0.0</v>
      </c>
      <c r="O149" s="136">
        <v>25.0</v>
      </c>
      <c r="P149" s="136">
        <v>0.0</v>
      </c>
      <c r="Q149" s="136">
        <v>0.0</v>
      </c>
      <c r="R149" s="136">
        <v>0.0</v>
      </c>
      <c r="S149" s="137">
        <v>45970.0</v>
      </c>
      <c r="T149" s="137">
        <v>46334.0</v>
      </c>
    </row>
    <row r="150" ht="18.0" customHeight="1">
      <c r="A150" s="134" t="s">
        <v>180</v>
      </c>
      <c r="B150" s="134" t="s">
        <v>38</v>
      </c>
      <c r="C150" s="134" t="s">
        <v>39</v>
      </c>
      <c r="D150" s="135">
        <v>850.0</v>
      </c>
      <c r="E150" s="136">
        <v>950.0</v>
      </c>
      <c r="F150" s="136">
        <v>-100.0</v>
      </c>
      <c r="G150" s="136">
        <v>0.0</v>
      </c>
      <c r="H150" s="136">
        <v>0.0</v>
      </c>
      <c r="I150" s="136">
        <v>950.0</v>
      </c>
      <c r="J150" s="136">
        <v>0.0</v>
      </c>
      <c r="K150" s="136">
        <v>0.0</v>
      </c>
      <c r="L150" s="136">
        <v>0.0</v>
      </c>
      <c r="M150" s="136">
        <v>0.0</v>
      </c>
      <c r="N150" s="136">
        <v>0.0</v>
      </c>
      <c r="O150" s="136">
        <v>0.0</v>
      </c>
      <c r="P150" s="136">
        <v>0.0</v>
      </c>
      <c r="Q150" s="136">
        <v>0.0</v>
      </c>
      <c r="R150" s="136">
        <v>0.0</v>
      </c>
      <c r="S150" s="137">
        <v>45144.0</v>
      </c>
      <c r="T150" s="137">
        <v>46081.0</v>
      </c>
    </row>
    <row r="151" ht="18.0" customHeight="1">
      <c r="A151" s="134" t="s">
        <v>181</v>
      </c>
      <c r="B151" s="134" t="s">
        <v>38</v>
      </c>
      <c r="C151" s="134" t="s">
        <v>39</v>
      </c>
      <c r="D151" s="135">
        <v>850.0</v>
      </c>
      <c r="E151" s="136">
        <v>886.0</v>
      </c>
      <c r="F151" s="136">
        <v>0.0</v>
      </c>
      <c r="G151" s="136">
        <v>0.0</v>
      </c>
      <c r="H151" s="136">
        <v>0.0</v>
      </c>
      <c r="I151" s="136">
        <v>0.0</v>
      </c>
      <c r="J151" s="136">
        <v>0.0</v>
      </c>
      <c r="K151" s="136">
        <v>0.0</v>
      </c>
      <c r="L151" s="136">
        <v>0.0</v>
      </c>
      <c r="M151" s="136">
        <v>0.0</v>
      </c>
      <c r="N151" s="136">
        <v>886.0</v>
      </c>
      <c r="O151" s="136">
        <v>0.0</v>
      </c>
      <c r="P151" s="136">
        <v>0.0</v>
      </c>
      <c r="Q151" s="136">
        <v>0.0</v>
      </c>
      <c r="R151" s="136">
        <v>0.0</v>
      </c>
      <c r="S151" s="137">
        <v>45916.0</v>
      </c>
      <c r="T151" s="137">
        <v>46282.0</v>
      </c>
    </row>
    <row r="152" ht="18.0" customHeight="1">
      <c r="A152" s="134" t="s">
        <v>182</v>
      </c>
      <c r="B152" s="134" t="s">
        <v>38</v>
      </c>
      <c r="C152" s="134" t="s">
        <v>39</v>
      </c>
      <c r="D152" s="135">
        <v>850.0</v>
      </c>
      <c r="E152" s="136">
        <v>900.0</v>
      </c>
      <c r="F152" s="136">
        <v>0.0</v>
      </c>
      <c r="G152" s="136">
        <v>0.0</v>
      </c>
      <c r="H152" s="136">
        <v>0.0</v>
      </c>
      <c r="I152" s="136">
        <v>900.0</v>
      </c>
      <c r="J152" s="136">
        <v>0.0</v>
      </c>
      <c r="K152" s="136">
        <v>0.0</v>
      </c>
      <c r="L152" s="136">
        <v>0.0</v>
      </c>
      <c r="M152" s="136">
        <v>0.0</v>
      </c>
      <c r="N152" s="136">
        <v>0.0</v>
      </c>
      <c r="O152" s="136">
        <v>0.0</v>
      </c>
      <c r="P152" s="136">
        <v>0.0</v>
      </c>
      <c r="Q152" s="136">
        <v>0.0</v>
      </c>
      <c r="R152" s="136">
        <v>0.0</v>
      </c>
      <c r="S152" s="137">
        <v>45200.0</v>
      </c>
      <c r="T152" s="137">
        <v>46356.0</v>
      </c>
    </row>
    <row r="153" ht="18.0" customHeight="1">
      <c r="A153" s="134" t="s">
        <v>183</v>
      </c>
      <c r="B153" s="134" t="s">
        <v>38</v>
      </c>
      <c r="C153" s="134" t="s">
        <v>39</v>
      </c>
      <c r="D153" s="135">
        <v>850.0</v>
      </c>
      <c r="E153" s="136">
        <v>1000.0</v>
      </c>
      <c r="F153" s="136">
        <v>-211.0</v>
      </c>
      <c r="G153" s="136">
        <v>0.0</v>
      </c>
      <c r="H153" s="136">
        <v>0.0</v>
      </c>
      <c r="I153" s="136">
        <v>255.0</v>
      </c>
      <c r="J153" s="136">
        <v>0.0</v>
      </c>
      <c r="K153" s="136">
        <v>745.0</v>
      </c>
      <c r="L153" s="136">
        <v>0.0</v>
      </c>
      <c r="M153" s="136">
        <v>0.0</v>
      </c>
      <c r="N153" s="136">
        <v>0.0</v>
      </c>
      <c r="O153" s="136">
        <v>0.0</v>
      </c>
      <c r="P153" s="136">
        <v>0.0</v>
      </c>
      <c r="Q153" s="136">
        <v>0.0</v>
      </c>
      <c r="R153" s="136">
        <v>0.0</v>
      </c>
      <c r="S153" s="137">
        <v>45128.0</v>
      </c>
      <c r="T153" s="137">
        <v>46387.0</v>
      </c>
    </row>
    <row r="154" ht="18.0" customHeight="1">
      <c r="A154" s="134" t="s">
        <v>184</v>
      </c>
      <c r="B154" s="134" t="s">
        <v>38</v>
      </c>
      <c r="C154" s="134" t="s">
        <v>39</v>
      </c>
      <c r="D154" s="135">
        <v>850.0</v>
      </c>
      <c r="E154" s="136">
        <v>896.5</v>
      </c>
      <c r="F154" s="136">
        <v>1733.93</v>
      </c>
      <c r="G154" s="136">
        <v>0.0</v>
      </c>
      <c r="H154" s="136">
        <v>0.0</v>
      </c>
      <c r="I154" s="136">
        <v>0.0</v>
      </c>
      <c r="J154" s="136">
        <v>0.0</v>
      </c>
      <c r="K154" s="136">
        <v>0.0</v>
      </c>
      <c r="L154" s="136">
        <v>0.0</v>
      </c>
      <c r="M154" s="136">
        <v>0.0</v>
      </c>
      <c r="N154" s="136">
        <v>886.0</v>
      </c>
      <c r="O154" s="136">
        <v>0.0</v>
      </c>
      <c r="P154" s="136">
        <v>0.0</v>
      </c>
      <c r="Q154" s="136">
        <v>0.0</v>
      </c>
      <c r="R154" s="136">
        <v>10.5</v>
      </c>
      <c r="S154" s="137">
        <v>45964.0</v>
      </c>
      <c r="T154" s="137">
        <v>46328.0</v>
      </c>
    </row>
    <row r="155" ht="18.0" customHeight="1">
      <c r="A155" s="134" t="s">
        <v>185</v>
      </c>
      <c r="B155" s="134" t="s">
        <v>38</v>
      </c>
      <c r="C155" s="134" t="s">
        <v>39</v>
      </c>
      <c r="D155" s="135">
        <v>850.0</v>
      </c>
      <c r="E155" s="136">
        <v>813.0</v>
      </c>
      <c r="F155" s="136">
        <v>283.0</v>
      </c>
      <c r="G155" s="136">
        <v>0.0</v>
      </c>
      <c r="H155" s="136">
        <v>0.0</v>
      </c>
      <c r="I155" s="136">
        <v>510.0</v>
      </c>
      <c r="J155" s="136">
        <v>0.0</v>
      </c>
      <c r="K155" s="136">
        <v>0.0</v>
      </c>
      <c r="L155" s="136">
        <v>0.0</v>
      </c>
      <c r="M155" s="136">
        <v>0.0</v>
      </c>
      <c r="N155" s="136">
        <v>303.0</v>
      </c>
      <c r="O155" s="136">
        <v>0.0</v>
      </c>
      <c r="P155" s="136">
        <v>0.0</v>
      </c>
      <c r="Q155" s="136">
        <v>0.0</v>
      </c>
      <c r="R155" s="136">
        <v>0.0</v>
      </c>
      <c r="S155" s="137">
        <v>45935.0</v>
      </c>
      <c r="T155" s="137">
        <v>46299.0</v>
      </c>
    </row>
    <row r="156" ht="18.0" customHeight="1">
      <c r="A156" s="134" t="s">
        <v>186</v>
      </c>
      <c r="B156" s="134" t="s">
        <v>38</v>
      </c>
      <c r="C156" s="134" t="s">
        <v>39</v>
      </c>
      <c r="D156" s="135">
        <v>850.0</v>
      </c>
      <c r="E156" s="136">
        <v>950.0</v>
      </c>
      <c r="F156" s="136">
        <v>0.0</v>
      </c>
      <c r="G156" s="136">
        <v>0.0</v>
      </c>
      <c r="H156" s="136">
        <v>0.0</v>
      </c>
      <c r="I156" s="136">
        <v>0.0</v>
      </c>
      <c r="J156" s="136">
        <v>0.0</v>
      </c>
      <c r="K156" s="136">
        <v>950.0</v>
      </c>
      <c r="L156" s="136">
        <v>0.0</v>
      </c>
      <c r="M156" s="136">
        <v>0.0</v>
      </c>
      <c r="N156" s="136">
        <v>0.0</v>
      </c>
      <c r="O156" s="136">
        <v>0.0</v>
      </c>
      <c r="P156" s="136">
        <v>0.0</v>
      </c>
      <c r="Q156" s="136">
        <v>0.0</v>
      </c>
      <c r="R156" s="136">
        <v>0.0</v>
      </c>
      <c r="S156" s="137">
        <v>45562.0</v>
      </c>
      <c r="T156" s="137">
        <v>46418.0</v>
      </c>
    </row>
    <row r="157" ht="18.0" customHeight="1">
      <c r="A157" s="134" t="s">
        <v>187</v>
      </c>
      <c r="B157" s="134" t="s">
        <v>38</v>
      </c>
      <c r="C157" s="134" t="s">
        <v>39</v>
      </c>
      <c r="D157" s="135">
        <v>850.0</v>
      </c>
      <c r="E157" s="136">
        <v>851.0</v>
      </c>
      <c r="F157" s="136">
        <v>-35.0</v>
      </c>
      <c r="G157" s="136">
        <v>0.0</v>
      </c>
      <c r="H157" s="136">
        <v>0.0</v>
      </c>
      <c r="I157" s="136">
        <v>0.0</v>
      </c>
      <c r="J157" s="136">
        <v>0.0</v>
      </c>
      <c r="K157" s="136">
        <v>0.0</v>
      </c>
      <c r="L157" s="136">
        <v>0.0</v>
      </c>
      <c r="M157" s="136">
        <v>0.0</v>
      </c>
      <c r="N157" s="136">
        <v>851.0</v>
      </c>
      <c r="O157" s="136">
        <v>0.0</v>
      </c>
      <c r="P157" s="136">
        <v>0.0</v>
      </c>
      <c r="Q157" s="136">
        <v>0.0</v>
      </c>
      <c r="R157" s="136">
        <v>0.0</v>
      </c>
      <c r="S157" s="137">
        <v>45231.0</v>
      </c>
      <c r="T157" s="137">
        <v>46326.0</v>
      </c>
    </row>
    <row r="158" ht="18.0" customHeight="1">
      <c r="A158" s="134" t="s">
        <v>188</v>
      </c>
      <c r="B158" s="134" t="s">
        <v>38</v>
      </c>
      <c r="C158" s="134" t="s">
        <v>39</v>
      </c>
      <c r="D158" s="135">
        <v>850.0</v>
      </c>
      <c r="E158" s="136">
        <v>813.0</v>
      </c>
      <c r="F158" s="136">
        <v>0.0</v>
      </c>
      <c r="G158" s="136">
        <v>0.0</v>
      </c>
      <c r="H158" s="136">
        <v>0.0</v>
      </c>
      <c r="I158" s="136">
        <v>94.0</v>
      </c>
      <c r="J158" s="136">
        <v>0.0</v>
      </c>
      <c r="K158" s="136">
        <v>0.0</v>
      </c>
      <c r="L158" s="136">
        <v>0.0</v>
      </c>
      <c r="M158" s="136">
        <v>0.0</v>
      </c>
      <c r="N158" s="136">
        <v>719.0</v>
      </c>
      <c r="O158" s="136">
        <v>0.0</v>
      </c>
      <c r="P158" s="136">
        <v>0.0</v>
      </c>
      <c r="Q158" s="136">
        <v>0.0</v>
      </c>
      <c r="R158" s="136">
        <v>0.0</v>
      </c>
      <c r="S158" s="137">
        <v>45904.0</v>
      </c>
      <c r="T158" s="137">
        <v>46268.0</v>
      </c>
    </row>
    <row r="159" ht="18.0" customHeight="1">
      <c r="A159" s="134" t="s">
        <v>189</v>
      </c>
      <c r="B159" s="134" t="s">
        <v>38</v>
      </c>
      <c r="C159" s="134" t="s">
        <v>39</v>
      </c>
      <c r="D159" s="135">
        <v>850.0</v>
      </c>
      <c r="E159" s="136">
        <v>980.0</v>
      </c>
      <c r="F159" s="136">
        <v>0.0</v>
      </c>
      <c r="G159" s="136">
        <v>0.0</v>
      </c>
      <c r="H159" s="136">
        <v>0.0</v>
      </c>
      <c r="I159" s="136">
        <v>965.0</v>
      </c>
      <c r="J159" s="136">
        <v>0.0</v>
      </c>
      <c r="K159" s="136">
        <v>0.0</v>
      </c>
      <c r="L159" s="136">
        <v>0.0</v>
      </c>
      <c r="M159" s="136">
        <v>0.0</v>
      </c>
      <c r="N159" s="136">
        <v>0.0</v>
      </c>
      <c r="O159" s="136">
        <v>0.0</v>
      </c>
      <c r="P159" s="136">
        <v>0.0</v>
      </c>
      <c r="Q159" s="136">
        <v>0.0</v>
      </c>
      <c r="R159" s="136">
        <v>15.0</v>
      </c>
      <c r="S159" s="137">
        <v>46023.0</v>
      </c>
      <c r="T159" s="137">
        <v>46387.0</v>
      </c>
    </row>
    <row r="160" ht="18.0" customHeight="1">
      <c r="A160" s="134" t="s">
        <v>190</v>
      </c>
      <c r="B160" s="134" t="s">
        <v>38</v>
      </c>
      <c r="C160" s="134" t="s">
        <v>39</v>
      </c>
      <c r="D160" s="135">
        <v>850.0</v>
      </c>
      <c r="E160" s="136">
        <v>838.0</v>
      </c>
      <c r="F160" s="136">
        <v>0.0</v>
      </c>
      <c r="G160" s="136">
        <v>0.0</v>
      </c>
      <c r="H160" s="136">
        <v>0.0</v>
      </c>
      <c r="I160" s="136">
        <v>194.0</v>
      </c>
      <c r="J160" s="136">
        <v>0.0</v>
      </c>
      <c r="K160" s="136">
        <v>0.0</v>
      </c>
      <c r="L160" s="136">
        <v>0.0</v>
      </c>
      <c r="M160" s="136">
        <v>0.0</v>
      </c>
      <c r="N160" s="136">
        <v>644.0</v>
      </c>
      <c r="O160" s="136">
        <v>0.0</v>
      </c>
      <c r="P160" s="136">
        <v>0.0</v>
      </c>
      <c r="Q160" s="136">
        <v>0.0</v>
      </c>
      <c r="R160" s="136">
        <v>0.0</v>
      </c>
      <c r="S160" s="137">
        <v>45214.0</v>
      </c>
      <c r="T160" s="137">
        <v>46326.0</v>
      </c>
    </row>
    <row r="161" ht="18.0" customHeight="1">
      <c r="A161" s="134" t="s">
        <v>191</v>
      </c>
      <c r="B161" s="134" t="s">
        <v>38</v>
      </c>
      <c r="C161" s="134" t="s">
        <v>39</v>
      </c>
      <c r="D161" s="135">
        <v>850.0</v>
      </c>
      <c r="E161" s="136">
        <v>925.0</v>
      </c>
      <c r="F161" s="136">
        <v>-15.0</v>
      </c>
      <c r="G161" s="136">
        <v>0.0</v>
      </c>
      <c r="H161" s="136">
        <v>0.0</v>
      </c>
      <c r="I161" s="136">
        <v>925.0</v>
      </c>
      <c r="J161" s="136">
        <v>0.0</v>
      </c>
      <c r="K161" s="136">
        <v>0.0</v>
      </c>
      <c r="L161" s="136">
        <v>0.0</v>
      </c>
      <c r="M161" s="136">
        <v>0.0</v>
      </c>
      <c r="N161" s="136">
        <v>0.0</v>
      </c>
      <c r="O161" s="136">
        <v>0.0</v>
      </c>
      <c r="P161" s="136">
        <v>0.0</v>
      </c>
      <c r="Q161" s="136">
        <v>0.0</v>
      </c>
      <c r="R161" s="136">
        <v>0.0</v>
      </c>
      <c r="S161" s="137">
        <v>45205.0</v>
      </c>
      <c r="T161" s="137">
        <v>46387.0</v>
      </c>
    </row>
    <row r="162" ht="18.0" customHeight="1">
      <c r="A162" s="134" t="s">
        <v>192</v>
      </c>
      <c r="B162" s="134" t="s">
        <v>38</v>
      </c>
      <c r="C162" s="134" t="s">
        <v>39</v>
      </c>
      <c r="D162" s="135">
        <v>850.0</v>
      </c>
      <c r="E162" s="136">
        <v>813.0</v>
      </c>
      <c r="F162" s="136">
        <v>524.85</v>
      </c>
      <c r="G162" s="136">
        <v>0.0</v>
      </c>
      <c r="H162" s="136">
        <v>0.0</v>
      </c>
      <c r="I162" s="136">
        <v>501.0</v>
      </c>
      <c r="J162" s="136">
        <v>0.0</v>
      </c>
      <c r="K162" s="136">
        <v>0.0</v>
      </c>
      <c r="L162" s="136">
        <v>0.0</v>
      </c>
      <c r="M162" s="136">
        <v>0.0</v>
      </c>
      <c r="N162" s="136">
        <v>312.0</v>
      </c>
      <c r="O162" s="136">
        <v>0.0</v>
      </c>
      <c r="P162" s="136">
        <v>0.0</v>
      </c>
      <c r="Q162" s="136">
        <v>0.0</v>
      </c>
      <c r="R162" s="136">
        <v>0.0</v>
      </c>
      <c r="S162" s="137">
        <v>45916.0</v>
      </c>
      <c r="T162" s="137">
        <v>46280.0</v>
      </c>
    </row>
    <row r="163" ht="18.0" customHeight="1">
      <c r="A163" s="134" t="s">
        <v>193</v>
      </c>
      <c r="B163" s="134" t="s">
        <v>38</v>
      </c>
      <c r="C163" s="134" t="s">
        <v>39</v>
      </c>
      <c r="D163" s="135">
        <v>850.0</v>
      </c>
      <c r="E163" s="136">
        <v>900.0</v>
      </c>
      <c r="F163" s="136">
        <v>10.0</v>
      </c>
      <c r="G163" s="136">
        <v>0.0</v>
      </c>
      <c r="H163" s="136">
        <v>0.0</v>
      </c>
      <c r="I163" s="136">
        <v>254.0</v>
      </c>
      <c r="J163" s="136">
        <v>0.0</v>
      </c>
      <c r="K163" s="136">
        <v>646.0</v>
      </c>
      <c r="L163" s="136">
        <v>0.0</v>
      </c>
      <c r="M163" s="136">
        <v>0.0</v>
      </c>
      <c r="N163" s="136">
        <v>0.0</v>
      </c>
      <c r="O163" s="136">
        <v>0.0</v>
      </c>
      <c r="P163" s="136">
        <v>0.0</v>
      </c>
      <c r="Q163" s="136">
        <v>0.0</v>
      </c>
      <c r="R163" s="136">
        <v>0.0</v>
      </c>
      <c r="S163" s="137">
        <v>44980.0</v>
      </c>
      <c r="T163" s="137"/>
    </row>
    <row r="164" ht="18.0" customHeight="1">
      <c r="A164" s="134" t="s">
        <v>194</v>
      </c>
      <c r="B164" s="134" t="s">
        <v>38</v>
      </c>
      <c r="C164" s="134" t="s">
        <v>39</v>
      </c>
      <c r="D164" s="135">
        <v>850.0</v>
      </c>
      <c r="E164" s="136">
        <v>886.0</v>
      </c>
      <c r="F164" s="136">
        <v>0.0</v>
      </c>
      <c r="G164" s="136">
        <v>0.0</v>
      </c>
      <c r="H164" s="136">
        <v>0.0</v>
      </c>
      <c r="I164" s="136">
        <v>0.0</v>
      </c>
      <c r="J164" s="136">
        <v>0.0</v>
      </c>
      <c r="K164" s="136">
        <v>0.0</v>
      </c>
      <c r="L164" s="136">
        <v>0.0</v>
      </c>
      <c r="M164" s="136">
        <v>0.0</v>
      </c>
      <c r="N164" s="136">
        <v>886.0</v>
      </c>
      <c r="O164" s="136">
        <v>0.0</v>
      </c>
      <c r="P164" s="136">
        <v>0.0</v>
      </c>
      <c r="Q164" s="136">
        <v>0.0</v>
      </c>
      <c r="R164" s="136">
        <v>0.0</v>
      </c>
      <c r="S164" s="137">
        <v>44964.0</v>
      </c>
      <c r="T164" s="137">
        <v>46054.0</v>
      </c>
    </row>
    <row r="165" ht="18.0" customHeight="1">
      <c r="A165" s="134" t="s">
        <v>195</v>
      </c>
      <c r="B165" s="134" t="s">
        <v>38</v>
      </c>
      <c r="C165" s="134" t="s">
        <v>39</v>
      </c>
      <c r="D165" s="135">
        <v>850.0</v>
      </c>
      <c r="E165" s="136">
        <v>886.0</v>
      </c>
      <c r="F165" s="136">
        <v>0.0</v>
      </c>
      <c r="G165" s="136">
        <v>0.0</v>
      </c>
      <c r="H165" s="136">
        <v>0.0</v>
      </c>
      <c r="I165" s="136">
        <v>0.0</v>
      </c>
      <c r="J165" s="136">
        <v>0.0</v>
      </c>
      <c r="K165" s="136">
        <v>0.0</v>
      </c>
      <c r="L165" s="136">
        <v>0.0</v>
      </c>
      <c r="M165" s="136">
        <v>0.0</v>
      </c>
      <c r="N165" s="136">
        <v>886.0</v>
      </c>
      <c r="O165" s="136">
        <v>0.0</v>
      </c>
      <c r="P165" s="136">
        <v>0.0</v>
      </c>
      <c r="Q165" s="136">
        <v>0.0</v>
      </c>
      <c r="R165" s="136">
        <v>0.0</v>
      </c>
      <c r="S165" s="137">
        <v>45041.0</v>
      </c>
      <c r="T165" s="137">
        <v>46113.0</v>
      </c>
    </row>
    <row r="166" ht="18.0" customHeight="1">
      <c r="A166" s="134" t="s">
        <v>196</v>
      </c>
      <c r="B166" s="134" t="s">
        <v>38</v>
      </c>
      <c r="C166" s="134" t="s">
        <v>47</v>
      </c>
      <c r="D166" s="135">
        <v>850.0</v>
      </c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7"/>
      <c r="T166" s="137"/>
    </row>
    <row r="167" ht="18.0" customHeight="1">
      <c r="A167" s="134" t="s">
        <v>197</v>
      </c>
      <c r="B167" s="134" t="s">
        <v>38</v>
      </c>
      <c r="C167" s="134" t="s">
        <v>39</v>
      </c>
      <c r="D167" s="135">
        <v>850.0</v>
      </c>
      <c r="E167" s="136">
        <v>1000.0</v>
      </c>
      <c r="F167" s="136">
        <v>0.0</v>
      </c>
      <c r="G167" s="136">
        <v>0.0</v>
      </c>
      <c r="H167" s="136">
        <v>0.0</v>
      </c>
      <c r="I167" s="136">
        <v>1000.0</v>
      </c>
      <c r="J167" s="136">
        <v>0.0</v>
      </c>
      <c r="K167" s="136">
        <v>0.0</v>
      </c>
      <c r="L167" s="136">
        <v>0.0</v>
      </c>
      <c r="M167" s="136">
        <v>0.0</v>
      </c>
      <c r="N167" s="136">
        <v>0.0</v>
      </c>
      <c r="O167" s="136">
        <v>0.0</v>
      </c>
      <c r="P167" s="136">
        <v>0.0</v>
      </c>
      <c r="Q167" s="136">
        <v>0.0</v>
      </c>
      <c r="R167" s="136">
        <v>0.0</v>
      </c>
      <c r="S167" s="137">
        <v>45261.0</v>
      </c>
      <c r="T167" s="137">
        <v>46387.0</v>
      </c>
    </row>
    <row r="168" ht="18.0" customHeight="1">
      <c r="A168" s="134" t="s">
        <v>198</v>
      </c>
      <c r="B168" s="134" t="s">
        <v>38</v>
      </c>
      <c r="C168" s="134" t="s">
        <v>39</v>
      </c>
      <c r="D168" s="135">
        <v>850.0</v>
      </c>
      <c r="E168" s="136">
        <v>813.0</v>
      </c>
      <c r="F168" s="136">
        <v>410.0</v>
      </c>
      <c r="G168" s="136">
        <v>0.0</v>
      </c>
      <c r="H168" s="136">
        <v>0.0</v>
      </c>
      <c r="I168" s="136">
        <v>334.0</v>
      </c>
      <c r="J168" s="136">
        <v>0.0</v>
      </c>
      <c r="K168" s="136">
        <v>0.0</v>
      </c>
      <c r="L168" s="136">
        <v>0.0</v>
      </c>
      <c r="M168" s="136">
        <v>0.0</v>
      </c>
      <c r="N168" s="136">
        <v>479.0</v>
      </c>
      <c r="O168" s="136">
        <v>0.0</v>
      </c>
      <c r="P168" s="136">
        <v>0.0</v>
      </c>
      <c r="Q168" s="136">
        <v>0.0</v>
      </c>
      <c r="R168" s="136">
        <v>0.0</v>
      </c>
      <c r="S168" s="137">
        <v>45122.0</v>
      </c>
      <c r="T168" s="137">
        <v>46387.0</v>
      </c>
    </row>
    <row r="169" ht="18.0" customHeight="1">
      <c r="A169" s="134" t="s">
        <v>199</v>
      </c>
      <c r="B169" s="134" t="s">
        <v>38</v>
      </c>
      <c r="C169" s="134" t="s">
        <v>39</v>
      </c>
      <c r="D169" s="135">
        <v>850.0</v>
      </c>
      <c r="E169" s="136">
        <v>925.0</v>
      </c>
      <c r="F169" s="136">
        <v>0.0</v>
      </c>
      <c r="G169" s="136">
        <v>0.0</v>
      </c>
      <c r="H169" s="136">
        <v>0.0</v>
      </c>
      <c r="I169" s="136">
        <v>925.0</v>
      </c>
      <c r="J169" s="136">
        <v>0.0</v>
      </c>
      <c r="K169" s="136">
        <v>0.0</v>
      </c>
      <c r="L169" s="136">
        <v>0.0</v>
      </c>
      <c r="M169" s="136">
        <v>0.0</v>
      </c>
      <c r="N169" s="136">
        <v>0.0</v>
      </c>
      <c r="O169" s="136">
        <v>0.0</v>
      </c>
      <c r="P169" s="136">
        <v>0.0</v>
      </c>
      <c r="Q169" s="136">
        <v>0.0</v>
      </c>
      <c r="R169" s="136">
        <v>0.0</v>
      </c>
      <c r="S169" s="137">
        <v>45069.0</v>
      </c>
      <c r="T169" s="137">
        <v>46387.0</v>
      </c>
    </row>
    <row r="170" ht="18.0" customHeight="1">
      <c r="A170" s="134" t="s">
        <v>200</v>
      </c>
      <c r="B170" s="134" t="s">
        <v>38</v>
      </c>
      <c r="C170" s="134" t="s">
        <v>47</v>
      </c>
      <c r="D170" s="135">
        <v>850.0</v>
      </c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7"/>
      <c r="T170" s="137"/>
    </row>
    <row r="171" ht="18.0" customHeight="1">
      <c r="A171" s="138" t="s">
        <v>201</v>
      </c>
      <c r="B171" s="138"/>
      <c r="C171" s="138" t="s">
        <v>342</v>
      </c>
      <c r="D171" s="139">
        <v>34800.0</v>
      </c>
      <c r="E171" s="140">
        <v>33959.5</v>
      </c>
      <c r="F171" s="140">
        <v>3748.03</v>
      </c>
      <c r="G171" s="140">
        <v>900.0</v>
      </c>
      <c r="H171" s="140">
        <v>180.0</v>
      </c>
      <c r="I171" s="140">
        <v>16346.0</v>
      </c>
      <c r="J171" s="140">
        <v>0.0</v>
      </c>
      <c r="K171" s="140">
        <v>4541.0</v>
      </c>
      <c r="L171" s="140">
        <v>0.0</v>
      </c>
      <c r="M171" s="140">
        <v>1958.0</v>
      </c>
      <c r="N171" s="140">
        <v>9869.0</v>
      </c>
      <c r="O171" s="140">
        <v>125.0</v>
      </c>
      <c r="P171" s="140">
        <v>0.0</v>
      </c>
      <c r="Q171" s="140">
        <v>0.0</v>
      </c>
      <c r="R171" s="140">
        <v>40.5</v>
      </c>
      <c r="S171" s="141"/>
      <c r="T171" s="141"/>
    </row>
    <row r="172" ht="18.0" customHeight="1">
      <c r="A172" s="133" t="s">
        <v>203</v>
      </c>
    </row>
    <row r="173" ht="18.0" customHeight="1">
      <c r="A173" s="134" t="s">
        <v>204</v>
      </c>
      <c r="B173" s="134" t="s">
        <v>38</v>
      </c>
      <c r="C173" s="134" t="s">
        <v>39</v>
      </c>
      <c r="D173" s="135">
        <v>825.0</v>
      </c>
      <c r="E173" s="136">
        <v>995.0</v>
      </c>
      <c r="F173" s="136">
        <v>0.0</v>
      </c>
      <c r="G173" s="136">
        <v>0.0</v>
      </c>
      <c r="H173" s="136">
        <v>0.0</v>
      </c>
      <c r="I173" s="136">
        <v>995.0</v>
      </c>
      <c r="J173" s="136">
        <v>0.0</v>
      </c>
      <c r="K173" s="136">
        <v>0.0</v>
      </c>
      <c r="L173" s="136">
        <v>0.0</v>
      </c>
      <c r="M173" s="136">
        <v>0.0</v>
      </c>
      <c r="N173" s="136">
        <v>0.0</v>
      </c>
      <c r="O173" s="136">
        <v>0.0</v>
      </c>
      <c r="P173" s="136">
        <v>0.0</v>
      </c>
      <c r="Q173" s="136">
        <v>0.0</v>
      </c>
      <c r="R173" s="136">
        <v>0.0</v>
      </c>
      <c r="S173" s="137">
        <v>45823.0</v>
      </c>
      <c r="T173" s="137">
        <v>46187.0</v>
      </c>
    </row>
    <row r="174" ht="18.0" customHeight="1">
      <c r="A174" s="134" t="s">
        <v>205</v>
      </c>
      <c r="B174" s="134" t="s">
        <v>56</v>
      </c>
      <c r="C174" s="134" t="s">
        <v>39</v>
      </c>
      <c r="D174" s="135">
        <v>750.0</v>
      </c>
      <c r="E174" s="136">
        <v>575.0</v>
      </c>
      <c r="F174" s="136">
        <v>0.0</v>
      </c>
      <c r="G174" s="136">
        <v>0.0</v>
      </c>
      <c r="H174" s="136">
        <v>0.0</v>
      </c>
      <c r="I174" s="136">
        <v>575.0</v>
      </c>
      <c r="J174" s="136">
        <v>0.0</v>
      </c>
      <c r="K174" s="136">
        <v>0.0</v>
      </c>
      <c r="L174" s="136">
        <v>0.0</v>
      </c>
      <c r="M174" s="136">
        <v>0.0</v>
      </c>
      <c r="N174" s="136">
        <v>0.0</v>
      </c>
      <c r="O174" s="136">
        <v>0.0</v>
      </c>
      <c r="P174" s="136">
        <v>0.0</v>
      </c>
      <c r="Q174" s="136">
        <v>0.0</v>
      </c>
      <c r="R174" s="136">
        <v>0.0</v>
      </c>
      <c r="S174" s="137">
        <v>45566.0</v>
      </c>
      <c r="T174" s="137"/>
    </row>
    <row r="175" ht="18.0" customHeight="1">
      <c r="A175" s="134" t="s">
        <v>206</v>
      </c>
      <c r="B175" s="134" t="s">
        <v>38</v>
      </c>
      <c r="C175" s="134" t="s">
        <v>39</v>
      </c>
      <c r="D175" s="135">
        <v>825.0</v>
      </c>
      <c r="E175" s="136">
        <v>900.0</v>
      </c>
      <c r="F175" s="136">
        <v>0.0</v>
      </c>
      <c r="G175" s="136">
        <v>0.0</v>
      </c>
      <c r="H175" s="136">
        <v>0.0</v>
      </c>
      <c r="I175" s="136">
        <v>900.0</v>
      </c>
      <c r="J175" s="136">
        <v>0.0</v>
      </c>
      <c r="K175" s="136">
        <v>0.0</v>
      </c>
      <c r="L175" s="136">
        <v>0.0</v>
      </c>
      <c r="M175" s="136">
        <v>0.0</v>
      </c>
      <c r="N175" s="136">
        <v>0.0</v>
      </c>
      <c r="O175" s="136">
        <v>0.0</v>
      </c>
      <c r="P175" s="136">
        <v>0.0</v>
      </c>
      <c r="Q175" s="136">
        <v>0.0</v>
      </c>
      <c r="R175" s="136">
        <v>0.0</v>
      </c>
      <c r="S175" s="137">
        <v>45347.0</v>
      </c>
      <c r="T175" s="137">
        <v>46112.0</v>
      </c>
    </row>
    <row r="176" ht="18.0" customHeight="1">
      <c r="A176" s="134" t="s">
        <v>207</v>
      </c>
      <c r="B176" s="134" t="s">
        <v>38</v>
      </c>
      <c r="C176" s="134" t="s">
        <v>39</v>
      </c>
      <c r="D176" s="135">
        <v>825.0</v>
      </c>
      <c r="E176" s="136">
        <v>650.0</v>
      </c>
      <c r="F176" s="136">
        <v>40.0</v>
      </c>
      <c r="G176" s="136">
        <v>0.0</v>
      </c>
      <c r="H176" s="136">
        <v>0.0</v>
      </c>
      <c r="I176" s="136">
        <v>650.0</v>
      </c>
      <c r="J176" s="136">
        <v>0.0</v>
      </c>
      <c r="K176" s="136">
        <v>0.0</v>
      </c>
      <c r="L176" s="136">
        <v>0.0</v>
      </c>
      <c r="M176" s="136">
        <v>0.0</v>
      </c>
      <c r="N176" s="136">
        <v>0.0</v>
      </c>
      <c r="O176" s="136">
        <v>0.0</v>
      </c>
      <c r="P176" s="136">
        <v>0.0</v>
      </c>
      <c r="Q176" s="136">
        <v>0.0</v>
      </c>
      <c r="R176" s="136">
        <v>0.0</v>
      </c>
      <c r="S176" s="137">
        <v>44774.0</v>
      </c>
      <c r="T176" s="137"/>
    </row>
    <row r="177" ht="18.0" customHeight="1">
      <c r="A177" s="134" t="s">
        <v>208</v>
      </c>
      <c r="B177" s="134" t="s">
        <v>38</v>
      </c>
      <c r="C177" s="134" t="s">
        <v>39</v>
      </c>
      <c r="D177" s="135">
        <v>825.0</v>
      </c>
      <c r="E177" s="136">
        <v>650.0</v>
      </c>
      <c r="F177" s="136">
        <v>0.0</v>
      </c>
      <c r="G177" s="136">
        <v>0.0</v>
      </c>
      <c r="H177" s="136">
        <v>0.0</v>
      </c>
      <c r="I177" s="136">
        <v>650.0</v>
      </c>
      <c r="J177" s="136">
        <v>0.0</v>
      </c>
      <c r="K177" s="136">
        <v>0.0</v>
      </c>
      <c r="L177" s="136">
        <v>0.0</v>
      </c>
      <c r="M177" s="136">
        <v>0.0</v>
      </c>
      <c r="N177" s="136">
        <v>0.0</v>
      </c>
      <c r="O177" s="136">
        <v>0.0</v>
      </c>
      <c r="P177" s="136">
        <v>0.0</v>
      </c>
      <c r="Q177" s="136">
        <v>0.0</v>
      </c>
      <c r="R177" s="136">
        <v>0.0</v>
      </c>
      <c r="S177" s="137">
        <v>45566.0</v>
      </c>
      <c r="T177" s="137"/>
    </row>
    <row r="178" ht="18.0" customHeight="1">
      <c r="A178" s="134" t="s">
        <v>209</v>
      </c>
      <c r="B178" s="134" t="s">
        <v>56</v>
      </c>
      <c r="C178" s="134" t="s">
        <v>39</v>
      </c>
      <c r="D178" s="135">
        <v>750.0</v>
      </c>
      <c r="E178" s="136">
        <v>750.0</v>
      </c>
      <c r="F178" s="136">
        <v>0.0</v>
      </c>
      <c r="G178" s="136">
        <v>0.0</v>
      </c>
      <c r="H178" s="136">
        <v>0.0</v>
      </c>
      <c r="I178" s="136">
        <v>750.0</v>
      </c>
      <c r="J178" s="136">
        <v>0.0</v>
      </c>
      <c r="K178" s="136">
        <v>0.0</v>
      </c>
      <c r="L178" s="136">
        <v>0.0</v>
      </c>
      <c r="M178" s="136">
        <v>0.0</v>
      </c>
      <c r="N178" s="136">
        <v>0.0</v>
      </c>
      <c r="O178" s="136">
        <v>0.0</v>
      </c>
      <c r="P178" s="136">
        <v>0.0</v>
      </c>
      <c r="Q178" s="136">
        <v>0.0</v>
      </c>
      <c r="R178" s="136">
        <v>0.0</v>
      </c>
      <c r="S178" s="137">
        <v>44398.0</v>
      </c>
      <c r="T178" s="137">
        <v>46234.0</v>
      </c>
    </row>
    <row r="179" ht="18.0" customHeight="1">
      <c r="A179" s="134" t="s">
        <v>210</v>
      </c>
      <c r="B179" s="134" t="s">
        <v>38</v>
      </c>
      <c r="C179" s="134" t="s">
        <v>39</v>
      </c>
      <c r="D179" s="135">
        <v>825.0</v>
      </c>
      <c r="E179" s="136">
        <v>995.0</v>
      </c>
      <c r="F179" s="136">
        <v>0.0</v>
      </c>
      <c r="G179" s="136">
        <v>0.0</v>
      </c>
      <c r="H179" s="136">
        <v>0.0</v>
      </c>
      <c r="I179" s="136">
        <v>995.0</v>
      </c>
      <c r="J179" s="136">
        <v>0.0</v>
      </c>
      <c r="K179" s="136">
        <v>0.0</v>
      </c>
      <c r="L179" s="136">
        <v>0.0</v>
      </c>
      <c r="M179" s="136">
        <v>0.0</v>
      </c>
      <c r="N179" s="136">
        <v>0.0</v>
      </c>
      <c r="O179" s="136">
        <v>0.0</v>
      </c>
      <c r="P179" s="136">
        <v>0.0</v>
      </c>
      <c r="Q179" s="136">
        <v>0.0</v>
      </c>
      <c r="R179" s="136">
        <v>0.0</v>
      </c>
      <c r="S179" s="137">
        <v>45966.0</v>
      </c>
      <c r="T179" s="137">
        <v>46330.0</v>
      </c>
    </row>
    <row r="180" ht="18.0" customHeight="1">
      <c r="A180" s="134" t="s">
        <v>211</v>
      </c>
      <c r="B180" s="134" t="s">
        <v>56</v>
      </c>
      <c r="C180" s="134" t="s">
        <v>39</v>
      </c>
      <c r="D180" s="135">
        <v>750.0</v>
      </c>
      <c r="E180" s="136">
        <v>800.0</v>
      </c>
      <c r="F180" s="136">
        <v>0.0</v>
      </c>
      <c r="G180" s="136">
        <v>0.0</v>
      </c>
      <c r="H180" s="136">
        <v>0.0</v>
      </c>
      <c r="I180" s="136">
        <v>800.0</v>
      </c>
      <c r="J180" s="136">
        <v>0.0</v>
      </c>
      <c r="K180" s="136">
        <v>0.0</v>
      </c>
      <c r="L180" s="136">
        <v>0.0</v>
      </c>
      <c r="M180" s="136">
        <v>0.0</v>
      </c>
      <c r="N180" s="136">
        <v>0.0</v>
      </c>
      <c r="O180" s="136">
        <v>0.0</v>
      </c>
      <c r="P180" s="136">
        <v>0.0</v>
      </c>
      <c r="Q180" s="136">
        <v>0.0</v>
      </c>
      <c r="R180" s="136">
        <v>0.0</v>
      </c>
      <c r="S180" s="137">
        <v>43162.0</v>
      </c>
      <c r="T180" s="137">
        <v>46203.0</v>
      </c>
    </row>
    <row r="181" ht="18.0" customHeight="1">
      <c r="A181" s="134" t="s">
        <v>212</v>
      </c>
      <c r="B181" s="134" t="s">
        <v>38</v>
      </c>
      <c r="C181" s="134" t="s">
        <v>39</v>
      </c>
      <c r="D181" s="135">
        <v>825.0</v>
      </c>
      <c r="E181" s="136">
        <v>800.0</v>
      </c>
      <c r="F181" s="136">
        <v>984.75</v>
      </c>
      <c r="G181" s="136">
        <v>0.0</v>
      </c>
      <c r="H181" s="136">
        <v>0.0</v>
      </c>
      <c r="I181" s="136">
        <v>800.0</v>
      </c>
      <c r="J181" s="136">
        <v>0.0</v>
      </c>
      <c r="K181" s="136">
        <v>0.0</v>
      </c>
      <c r="L181" s="136">
        <v>0.0</v>
      </c>
      <c r="M181" s="136">
        <v>0.0</v>
      </c>
      <c r="N181" s="136">
        <v>0.0</v>
      </c>
      <c r="O181" s="136">
        <v>0.0</v>
      </c>
      <c r="P181" s="136">
        <v>0.0</v>
      </c>
      <c r="Q181" s="136">
        <v>0.0</v>
      </c>
      <c r="R181" s="136">
        <v>0.0</v>
      </c>
      <c r="S181" s="137">
        <v>45567.0</v>
      </c>
      <c r="T181" s="137">
        <v>46142.0</v>
      </c>
    </row>
    <row r="182" ht="18.0" customHeight="1">
      <c r="A182" s="134" t="s">
        <v>213</v>
      </c>
      <c r="B182" s="134" t="s">
        <v>38</v>
      </c>
      <c r="C182" s="134" t="s">
        <v>39</v>
      </c>
      <c r="D182" s="135">
        <v>825.0</v>
      </c>
      <c r="E182" s="136">
        <v>675.0</v>
      </c>
      <c r="F182" s="136">
        <v>-330.0</v>
      </c>
      <c r="G182" s="136">
        <v>0.0</v>
      </c>
      <c r="H182" s="136">
        <v>0.0</v>
      </c>
      <c r="I182" s="136">
        <v>675.0</v>
      </c>
      <c r="J182" s="136">
        <v>0.0</v>
      </c>
      <c r="K182" s="136">
        <v>0.0</v>
      </c>
      <c r="L182" s="136">
        <v>0.0</v>
      </c>
      <c r="M182" s="136">
        <v>0.0</v>
      </c>
      <c r="N182" s="136">
        <v>0.0</v>
      </c>
      <c r="O182" s="136">
        <v>0.0</v>
      </c>
      <c r="P182" s="136">
        <v>0.0</v>
      </c>
      <c r="Q182" s="136">
        <v>0.0</v>
      </c>
      <c r="R182" s="136">
        <v>0.0</v>
      </c>
      <c r="S182" s="137">
        <v>44903.0</v>
      </c>
      <c r="T182" s="137"/>
    </row>
    <row r="183" ht="18.0" customHeight="1">
      <c r="A183" s="134" t="s">
        <v>214</v>
      </c>
      <c r="B183" s="134" t="s">
        <v>38</v>
      </c>
      <c r="C183" s="134" t="s">
        <v>39</v>
      </c>
      <c r="D183" s="135">
        <v>825.0</v>
      </c>
      <c r="E183" s="136">
        <v>900.0</v>
      </c>
      <c r="F183" s="136">
        <v>1115.0</v>
      </c>
      <c r="G183" s="136">
        <v>0.0</v>
      </c>
      <c r="H183" s="136">
        <v>0.0</v>
      </c>
      <c r="I183" s="136">
        <v>900.0</v>
      </c>
      <c r="J183" s="136">
        <v>0.0</v>
      </c>
      <c r="K183" s="136">
        <v>0.0</v>
      </c>
      <c r="L183" s="136">
        <v>0.0</v>
      </c>
      <c r="M183" s="136">
        <v>0.0</v>
      </c>
      <c r="N183" s="136">
        <v>0.0</v>
      </c>
      <c r="O183" s="136">
        <v>0.0</v>
      </c>
      <c r="P183" s="136">
        <v>0.0</v>
      </c>
      <c r="Q183" s="136">
        <v>0.0</v>
      </c>
      <c r="R183" s="136">
        <v>0.0</v>
      </c>
      <c r="S183" s="137">
        <v>44986.0</v>
      </c>
      <c r="T183" s="137">
        <v>46112.0</v>
      </c>
    </row>
    <row r="184" ht="18.0" customHeight="1">
      <c r="A184" s="134" t="s">
        <v>215</v>
      </c>
      <c r="B184" s="134" t="s">
        <v>56</v>
      </c>
      <c r="C184" s="134" t="s">
        <v>39</v>
      </c>
      <c r="D184" s="135">
        <v>750.0</v>
      </c>
      <c r="E184" s="136">
        <v>750.0</v>
      </c>
      <c r="F184" s="136">
        <v>0.0</v>
      </c>
      <c r="G184" s="136">
        <v>0.0</v>
      </c>
      <c r="H184" s="136">
        <v>0.0</v>
      </c>
      <c r="I184" s="136">
        <v>750.0</v>
      </c>
      <c r="J184" s="136">
        <v>0.0</v>
      </c>
      <c r="K184" s="136">
        <v>0.0</v>
      </c>
      <c r="L184" s="136">
        <v>0.0</v>
      </c>
      <c r="M184" s="136">
        <v>0.0</v>
      </c>
      <c r="N184" s="136">
        <v>0.0</v>
      </c>
      <c r="O184" s="136">
        <v>0.0</v>
      </c>
      <c r="P184" s="136">
        <v>0.0</v>
      </c>
      <c r="Q184" s="136">
        <v>0.0</v>
      </c>
      <c r="R184" s="136">
        <v>0.0</v>
      </c>
      <c r="S184" s="137">
        <v>42368.0</v>
      </c>
      <c r="T184" s="137">
        <v>46691.0</v>
      </c>
    </row>
    <row r="185" ht="18.0" customHeight="1">
      <c r="A185" s="134" t="s">
        <v>216</v>
      </c>
      <c r="B185" s="134" t="s">
        <v>38</v>
      </c>
      <c r="C185" s="134" t="s">
        <v>39</v>
      </c>
      <c r="D185" s="135">
        <v>825.0</v>
      </c>
      <c r="E185" s="136">
        <v>750.0</v>
      </c>
      <c r="F185" s="136">
        <v>0.0</v>
      </c>
      <c r="G185" s="136">
        <v>0.0</v>
      </c>
      <c r="H185" s="136">
        <v>0.0</v>
      </c>
      <c r="I185" s="136">
        <v>750.0</v>
      </c>
      <c r="J185" s="136">
        <v>0.0</v>
      </c>
      <c r="K185" s="136">
        <v>0.0</v>
      </c>
      <c r="L185" s="136">
        <v>0.0</v>
      </c>
      <c r="M185" s="136">
        <v>0.0</v>
      </c>
      <c r="N185" s="136">
        <v>0.0</v>
      </c>
      <c r="O185" s="136">
        <v>0.0</v>
      </c>
      <c r="P185" s="136">
        <v>0.0</v>
      </c>
      <c r="Q185" s="136">
        <v>0.0</v>
      </c>
      <c r="R185" s="136">
        <v>0.0</v>
      </c>
      <c r="S185" s="137">
        <v>44896.0</v>
      </c>
      <c r="T185" s="137"/>
    </row>
    <row r="186" ht="18.0" customHeight="1">
      <c r="A186" s="134" t="s">
        <v>217</v>
      </c>
      <c r="B186" s="134" t="s">
        <v>56</v>
      </c>
      <c r="C186" s="134" t="s">
        <v>39</v>
      </c>
      <c r="D186" s="135">
        <v>750.0</v>
      </c>
      <c r="E186" s="136">
        <v>700.0</v>
      </c>
      <c r="F186" s="136">
        <v>0.0</v>
      </c>
      <c r="G186" s="136">
        <v>0.0</v>
      </c>
      <c r="H186" s="136">
        <v>0.0</v>
      </c>
      <c r="I186" s="136">
        <v>700.0</v>
      </c>
      <c r="J186" s="136">
        <v>0.0</v>
      </c>
      <c r="K186" s="136">
        <v>0.0</v>
      </c>
      <c r="L186" s="136">
        <v>0.0</v>
      </c>
      <c r="M186" s="136">
        <v>0.0</v>
      </c>
      <c r="N186" s="136">
        <v>0.0</v>
      </c>
      <c r="O186" s="136">
        <v>0.0</v>
      </c>
      <c r="P186" s="136">
        <v>0.0</v>
      </c>
      <c r="Q186" s="136">
        <v>0.0</v>
      </c>
      <c r="R186" s="136">
        <v>0.0</v>
      </c>
      <c r="S186" s="137">
        <v>42278.0</v>
      </c>
      <c r="T186" s="137">
        <v>46568.0</v>
      </c>
    </row>
    <row r="187" ht="18.0" customHeight="1">
      <c r="A187" s="134" t="s">
        <v>218</v>
      </c>
      <c r="B187" s="134" t="s">
        <v>38</v>
      </c>
      <c r="C187" s="134" t="s">
        <v>39</v>
      </c>
      <c r="D187" s="135">
        <v>825.0</v>
      </c>
      <c r="E187" s="136">
        <v>1025.0</v>
      </c>
      <c r="F187" s="136">
        <v>0.0</v>
      </c>
      <c r="G187" s="136">
        <v>0.0</v>
      </c>
      <c r="H187" s="136">
        <v>0.0</v>
      </c>
      <c r="I187" s="136">
        <v>1025.0</v>
      </c>
      <c r="J187" s="136">
        <v>0.0</v>
      </c>
      <c r="K187" s="136">
        <v>0.0</v>
      </c>
      <c r="L187" s="136">
        <v>0.0</v>
      </c>
      <c r="M187" s="136">
        <v>0.0</v>
      </c>
      <c r="N187" s="136">
        <v>0.0</v>
      </c>
      <c r="O187" s="136">
        <v>0.0</v>
      </c>
      <c r="P187" s="136">
        <v>0.0</v>
      </c>
      <c r="Q187" s="136">
        <v>0.0</v>
      </c>
      <c r="R187" s="136">
        <v>0.0</v>
      </c>
      <c r="S187" s="137">
        <v>45717.0</v>
      </c>
      <c r="T187" s="137">
        <v>46081.0</v>
      </c>
    </row>
    <row r="188" ht="18.0" customHeight="1">
      <c r="A188" s="134" t="s">
        <v>219</v>
      </c>
      <c r="B188" s="134" t="s">
        <v>56</v>
      </c>
      <c r="C188" s="134" t="s">
        <v>39</v>
      </c>
      <c r="D188" s="135">
        <v>750.0</v>
      </c>
      <c r="E188" s="136">
        <v>800.0</v>
      </c>
      <c r="F188" s="136">
        <v>0.0</v>
      </c>
      <c r="G188" s="136">
        <v>0.0</v>
      </c>
      <c r="H188" s="136">
        <v>0.0</v>
      </c>
      <c r="I188" s="136">
        <v>800.0</v>
      </c>
      <c r="J188" s="136">
        <v>0.0</v>
      </c>
      <c r="K188" s="136">
        <v>0.0</v>
      </c>
      <c r="L188" s="136">
        <v>0.0</v>
      </c>
      <c r="M188" s="136">
        <v>0.0</v>
      </c>
      <c r="N188" s="136">
        <v>0.0</v>
      </c>
      <c r="O188" s="136">
        <v>0.0</v>
      </c>
      <c r="P188" s="136">
        <v>0.0</v>
      </c>
      <c r="Q188" s="136">
        <v>0.0</v>
      </c>
      <c r="R188" s="136">
        <v>0.0</v>
      </c>
      <c r="S188" s="137">
        <v>45870.0</v>
      </c>
      <c r="T188" s="137">
        <v>46234.0</v>
      </c>
    </row>
    <row r="189" ht="18.0" customHeight="1">
      <c r="A189" s="134" t="s">
        <v>220</v>
      </c>
      <c r="B189" s="134" t="s">
        <v>38</v>
      </c>
      <c r="C189" s="134" t="s">
        <v>39</v>
      </c>
      <c r="D189" s="135">
        <v>825.0</v>
      </c>
      <c r="E189" s="136">
        <v>1025.0</v>
      </c>
      <c r="F189" s="136">
        <v>0.0</v>
      </c>
      <c r="G189" s="136">
        <v>0.0</v>
      </c>
      <c r="H189" s="136">
        <v>0.0</v>
      </c>
      <c r="I189" s="136">
        <v>1025.0</v>
      </c>
      <c r="J189" s="136">
        <v>0.0</v>
      </c>
      <c r="K189" s="136">
        <v>0.0</v>
      </c>
      <c r="L189" s="136">
        <v>0.0</v>
      </c>
      <c r="M189" s="136">
        <v>0.0</v>
      </c>
      <c r="N189" s="136">
        <v>0.0</v>
      </c>
      <c r="O189" s="136">
        <v>0.0</v>
      </c>
      <c r="P189" s="136">
        <v>0.0</v>
      </c>
      <c r="Q189" s="136">
        <v>0.0</v>
      </c>
      <c r="R189" s="136">
        <v>0.0</v>
      </c>
      <c r="S189" s="137">
        <v>45744.0</v>
      </c>
      <c r="T189" s="137">
        <v>46108.0</v>
      </c>
    </row>
    <row r="190" ht="18.0" customHeight="1">
      <c r="A190" s="134" t="s">
        <v>221</v>
      </c>
      <c r="B190" s="134" t="s">
        <v>38</v>
      </c>
      <c r="C190" s="134" t="s">
        <v>39</v>
      </c>
      <c r="D190" s="135">
        <v>825.0</v>
      </c>
      <c r="E190" s="136">
        <v>850.0</v>
      </c>
      <c r="F190" s="136">
        <v>-103.48</v>
      </c>
      <c r="G190" s="136">
        <v>0.0</v>
      </c>
      <c r="H190" s="136">
        <v>0.0</v>
      </c>
      <c r="I190" s="136">
        <v>238.0</v>
      </c>
      <c r="J190" s="136">
        <v>0.0</v>
      </c>
      <c r="K190" s="136">
        <v>0.0</v>
      </c>
      <c r="L190" s="136">
        <v>612.0</v>
      </c>
      <c r="M190" s="136">
        <v>0.0</v>
      </c>
      <c r="N190" s="136">
        <v>0.0</v>
      </c>
      <c r="O190" s="136">
        <v>0.0</v>
      </c>
      <c r="P190" s="136">
        <v>0.0</v>
      </c>
      <c r="Q190" s="136">
        <v>0.0</v>
      </c>
      <c r="R190" s="136">
        <v>0.0</v>
      </c>
      <c r="S190" s="137">
        <v>44437.0</v>
      </c>
      <c r="T190" s="137">
        <v>46264.0</v>
      </c>
    </row>
    <row r="191" ht="18.0" customHeight="1">
      <c r="A191" s="134" t="s">
        <v>222</v>
      </c>
      <c r="B191" s="134" t="s">
        <v>56</v>
      </c>
      <c r="C191" s="134" t="s">
        <v>39</v>
      </c>
      <c r="D191" s="135">
        <v>750.0</v>
      </c>
      <c r="E191" s="136">
        <v>895.0</v>
      </c>
      <c r="F191" s="136">
        <v>0.0</v>
      </c>
      <c r="G191" s="136">
        <v>0.0</v>
      </c>
      <c r="H191" s="136">
        <v>0.0</v>
      </c>
      <c r="I191" s="136">
        <v>895.0</v>
      </c>
      <c r="J191" s="136">
        <v>0.0</v>
      </c>
      <c r="K191" s="136">
        <v>0.0</v>
      </c>
      <c r="L191" s="136">
        <v>0.0</v>
      </c>
      <c r="M191" s="136">
        <v>0.0</v>
      </c>
      <c r="N191" s="136">
        <v>0.0</v>
      </c>
      <c r="O191" s="136">
        <v>0.0</v>
      </c>
      <c r="P191" s="136">
        <v>0.0</v>
      </c>
      <c r="Q191" s="136">
        <v>0.0</v>
      </c>
      <c r="R191" s="136">
        <v>0.0</v>
      </c>
      <c r="S191" s="137">
        <v>45931.0</v>
      </c>
      <c r="T191" s="137">
        <v>46295.0</v>
      </c>
    </row>
    <row r="192" ht="18.0" customHeight="1">
      <c r="A192" s="134" t="s">
        <v>223</v>
      </c>
      <c r="B192" s="134" t="s">
        <v>38</v>
      </c>
      <c r="C192" s="134" t="s">
        <v>39</v>
      </c>
      <c r="D192" s="135">
        <v>825.0</v>
      </c>
      <c r="E192" s="136">
        <v>925.0</v>
      </c>
      <c r="F192" s="136">
        <v>0.0</v>
      </c>
      <c r="G192" s="136">
        <v>0.0</v>
      </c>
      <c r="H192" s="136">
        <v>0.0</v>
      </c>
      <c r="I192" s="136">
        <v>925.0</v>
      </c>
      <c r="J192" s="136">
        <v>0.0</v>
      </c>
      <c r="K192" s="136">
        <v>0.0</v>
      </c>
      <c r="L192" s="136">
        <v>0.0</v>
      </c>
      <c r="M192" s="136">
        <v>0.0</v>
      </c>
      <c r="N192" s="136">
        <v>0.0</v>
      </c>
      <c r="O192" s="136">
        <v>0.0</v>
      </c>
      <c r="P192" s="136">
        <v>0.0</v>
      </c>
      <c r="Q192" s="136">
        <v>0.0</v>
      </c>
      <c r="R192" s="136">
        <v>0.0</v>
      </c>
      <c r="S192" s="137">
        <v>46022.0</v>
      </c>
      <c r="T192" s="137">
        <v>46356.0</v>
      </c>
    </row>
    <row r="193" ht="18.0" customHeight="1">
      <c r="A193" s="134" t="s">
        <v>224</v>
      </c>
      <c r="B193" s="134" t="s">
        <v>56</v>
      </c>
      <c r="C193" s="134" t="s">
        <v>39</v>
      </c>
      <c r="D193" s="135">
        <v>750.0</v>
      </c>
      <c r="E193" s="136">
        <v>840.0</v>
      </c>
      <c r="F193" s="136">
        <v>-17.0</v>
      </c>
      <c r="G193" s="136">
        <v>0.0</v>
      </c>
      <c r="H193" s="136">
        <v>0.0</v>
      </c>
      <c r="I193" s="136">
        <v>800.0</v>
      </c>
      <c r="J193" s="136">
        <v>0.0</v>
      </c>
      <c r="K193" s="136">
        <v>0.0</v>
      </c>
      <c r="L193" s="136">
        <v>0.0</v>
      </c>
      <c r="M193" s="136">
        <v>0.0</v>
      </c>
      <c r="N193" s="136">
        <v>0.0</v>
      </c>
      <c r="O193" s="136">
        <v>25.0</v>
      </c>
      <c r="P193" s="136">
        <v>0.0</v>
      </c>
      <c r="Q193" s="136">
        <v>0.0</v>
      </c>
      <c r="R193" s="136">
        <v>15.0</v>
      </c>
      <c r="S193" s="137">
        <v>45987.0</v>
      </c>
      <c r="T193" s="137">
        <v>46326.0</v>
      </c>
    </row>
    <row r="194" ht="18.0" customHeight="1">
      <c r="A194" s="134" t="s">
        <v>225</v>
      </c>
      <c r="B194" s="134" t="s">
        <v>38</v>
      </c>
      <c r="C194" s="134" t="s">
        <v>39</v>
      </c>
      <c r="D194" s="135">
        <v>825.0</v>
      </c>
      <c r="E194" s="136">
        <v>800.0</v>
      </c>
      <c r="F194" s="136">
        <v>0.0</v>
      </c>
      <c r="G194" s="136">
        <v>0.0</v>
      </c>
      <c r="H194" s="136">
        <v>0.0</v>
      </c>
      <c r="I194" s="136">
        <v>800.0</v>
      </c>
      <c r="J194" s="136">
        <v>0.0</v>
      </c>
      <c r="K194" s="136">
        <v>0.0</v>
      </c>
      <c r="L194" s="136">
        <v>0.0</v>
      </c>
      <c r="M194" s="136">
        <v>0.0</v>
      </c>
      <c r="N194" s="136">
        <v>0.0</v>
      </c>
      <c r="O194" s="136">
        <v>0.0</v>
      </c>
      <c r="P194" s="136">
        <v>0.0</v>
      </c>
      <c r="Q194" s="136">
        <v>0.0</v>
      </c>
      <c r="R194" s="136">
        <v>0.0</v>
      </c>
      <c r="S194" s="137">
        <v>45748.0</v>
      </c>
      <c r="T194" s="137">
        <v>46568.0</v>
      </c>
    </row>
    <row r="195" ht="18.0" customHeight="1">
      <c r="A195" s="138" t="s">
        <v>226</v>
      </c>
      <c r="B195" s="138"/>
      <c r="C195" s="138" t="s">
        <v>44</v>
      </c>
      <c r="D195" s="139">
        <v>17550.0</v>
      </c>
      <c r="E195" s="140">
        <v>18050.0</v>
      </c>
      <c r="F195" s="140">
        <v>1689.27</v>
      </c>
      <c r="G195" s="140">
        <v>0.0</v>
      </c>
      <c r="H195" s="140">
        <v>0.0</v>
      </c>
      <c r="I195" s="140">
        <v>17398.0</v>
      </c>
      <c r="J195" s="140">
        <v>0.0</v>
      </c>
      <c r="K195" s="140">
        <v>0.0</v>
      </c>
      <c r="L195" s="140">
        <v>612.0</v>
      </c>
      <c r="M195" s="140">
        <v>0.0</v>
      </c>
      <c r="N195" s="140">
        <v>0.0</v>
      </c>
      <c r="O195" s="140">
        <v>25.0</v>
      </c>
      <c r="P195" s="140">
        <v>0.0</v>
      </c>
      <c r="Q195" s="140">
        <v>0.0</v>
      </c>
      <c r="R195" s="140">
        <v>15.0</v>
      </c>
      <c r="S195" s="141"/>
      <c r="T195" s="141"/>
    </row>
    <row r="196" ht="18.0" customHeight="1">
      <c r="A196" s="133" t="s">
        <v>228</v>
      </c>
    </row>
    <row r="197" ht="18.0" customHeight="1">
      <c r="A197" s="134" t="s">
        <v>46</v>
      </c>
      <c r="B197" s="134" t="s">
        <v>38</v>
      </c>
      <c r="C197" s="134" t="s">
        <v>39</v>
      </c>
      <c r="D197" s="135">
        <v>825.0</v>
      </c>
      <c r="E197" s="136">
        <v>1250.0</v>
      </c>
      <c r="F197" s="136">
        <v>-650.0</v>
      </c>
      <c r="G197" s="136">
        <v>0.0</v>
      </c>
      <c r="H197" s="136">
        <v>225.0</v>
      </c>
      <c r="I197" s="136">
        <v>1025.0</v>
      </c>
      <c r="J197" s="136">
        <v>0.0</v>
      </c>
      <c r="K197" s="136">
        <v>0.0</v>
      </c>
      <c r="L197" s="136">
        <v>0.0</v>
      </c>
      <c r="M197" s="136">
        <v>0.0</v>
      </c>
      <c r="N197" s="136">
        <v>0.0</v>
      </c>
      <c r="O197" s="136">
        <v>0.0</v>
      </c>
      <c r="P197" s="136">
        <v>0.0</v>
      </c>
      <c r="Q197" s="136">
        <v>0.0</v>
      </c>
      <c r="R197" s="136">
        <v>0.0</v>
      </c>
      <c r="S197" s="137">
        <v>45787.0</v>
      </c>
      <c r="T197" s="137">
        <v>46151.0</v>
      </c>
    </row>
    <row r="198" ht="18.0" customHeight="1">
      <c r="A198" s="134" t="s">
        <v>48</v>
      </c>
      <c r="B198" s="134" t="s">
        <v>56</v>
      </c>
      <c r="C198" s="134" t="s">
        <v>39</v>
      </c>
      <c r="D198" s="135">
        <v>750.0</v>
      </c>
      <c r="E198" s="136">
        <v>1075.0</v>
      </c>
      <c r="F198" s="136">
        <v>0.0</v>
      </c>
      <c r="G198" s="136">
        <v>0.0</v>
      </c>
      <c r="H198" s="136">
        <v>150.0</v>
      </c>
      <c r="I198" s="136">
        <v>925.0</v>
      </c>
      <c r="J198" s="136">
        <v>0.0</v>
      </c>
      <c r="K198" s="136">
        <v>0.0</v>
      </c>
      <c r="L198" s="136">
        <v>0.0</v>
      </c>
      <c r="M198" s="136">
        <v>0.0</v>
      </c>
      <c r="N198" s="136">
        <v>0.0</v>
      </c>
      <c r="O198" s="136">
        <v>0.0</v>
      </c>
      <c r="P198" s="136">
        <v>0.0</v>
      </c>
      <c r="Q198" s="136">
        <v>0.0</v>
      </c>
      <c r="R198" s="136">
        <v>0.0</v>
      </c>
      <c r="S198" s="137">
        <v>45849.0</v>
      </c>
      <c r="T198" s="137">
        <v>46213.0</v>
      </c>
    </row>
    <row r="199" ht="18.0" customHeight="1">
      <c r="A199" s="134" t="s">
        <v>65</v>
      </c>
      <c r="B199" s="134" t="s">
        <v>38</v>
      </c>
      <c r="C199" s="134" t="s">
        <v>39</v>
      </c>
      <c r="D199" s="135">
        <v>825.0</v>
      </c>
      <c r="E199" s="136">
        <v>1250.0</v>
      </c>
      <c r="F199" s="136">
        <v>0.0</v>
      </c>
      <c r="G199" s="136">
        <v>0.0</v>
      </c>
      <c r="H199" s="136">
        <v>225.0</v>
      </c>
      <c r="I199" s="136">
        <v>122.0</v>
      </c>
      <c r="J199" s="136">
        <v>0.0</v>
      </c>
      <c r="K199" s="136">
        <v>0.0</v>
      </c>
      <c r="L199" s="136">
        <v>903.0</v>
      </c>
      <c r="M199" s="136">
        <v>0.0</v>
      </c>
      <c r="N199" s="136">
        <v>0.0</v>
      </c>
      <c r="O199" s="136">
        <v>0.0</v>
      </c>
      <c r="P199" s="136">
        <v>0.0</v>
      </c>
      <c r="Q199" s="136">
        <v>0.0</v>
      </c>
      <c r="R199" s="136">
        <v>0.0</v>
      </c>
      <c r="S199" s="137">
        <v>45373.0</v>
      </c>
      <c r="T199" s="137"/>
    </row>
    <row r="200" ht="18.0" customHeight="1">
      <c r="A200" s="134" t="s">
        <v>66</v>
      </c>
      <c r="B200" s="134" t="s">
        <v>38</v>
      </c>
      <c r="C200" s="134" t="s">
        <v>39</v>
      </c>
      <c r="D200" s="135">
        <v>825.0</v>
      </c>
      <c r="E200" s="136">
        <v>1175.0</v>
      </c>
      <c r="F200" s="136">
        <v>6.7</v>
      </c>
      <c r="G200" s="136">
        <v>0.0</v>
      </c>
      <c r="H200" s="136">
        <v>225.0</v>
      </c>
      <c r="I200" s="136">
        <v>950.0</v>
      </c>
      <c r="J200" s="136">
        <v>0.0</v>
      </c>
      <c r="K200" s="136">
        <v>0.0</v>
      </c>
      <c r="L200" s="136">
        <v>0.0</v>
      </c>
      <c r="M200" s="136">
        <v>0.0</v>
      </c>
      <c r="N200" s="136">
        <v>0.0</v>
      </c>
      <c r="O200" s="136">
        <v>0.0</v>
      </c>
      <c r="P200" s="136">
        <v>0.0</v>
      </c>
      <c r="Q200" s="136">
        <v>0.0</v>
      </c>
      <c r="R200" s="136">
        <v>0.0</v>
      </c>
      <c r="S200" s="137">
        <v>45200.0</v>
      </c>
      <c r="T200" s="137">
        <v>46356.0</v>
      </c>
    </row>
    <row r="201" ht="18.0" customHeight="1">
      <c r="A201" s="134" t="s">
        <v>67</v>
      </c>
      <c r="B201" s="134" t="s">
        <v>38</v>
      </c>
      <c r="C201" s="134" t="s">
        <v>39</v>
      </c>
      <c r="D201" s="135">
        <v>825.0</v>
      </c>
      <c r="E201" s="136">
        <v>1250.0</v>
      </c>
      <c r="F201" s="136">
        <v>0.0</v>
      </c>
      <c r="G201" s="136">
        <v>0.0</v>
      </c>
      <c r="H201" s="136">
        <v>225.0</v>
      </c>
      <c r="I201" s="136">
        <v>1025.0</v>
      </c>
      <c r="J201" s="136">
        <v>0.0</v>
      </c>
      <c r="K201" s="136">
        <v>0.0</v>
      </c>
      <c r="L201" s="136">
        <v>0.0</v>
      </c>
      <c r="M201" s="136">
        <v>0.0</v>
      </c>
      <c r="N201" s="136">
        <v>0.0</v>
      </c>
      <c r="O201" s="136">
        <v>0.0</v>
      </c>
      <c r="P201" s="136">
        <v>0.0</v>
      </c>
      <c r="Q201" s="136">
        <v>0.0</v>
      </c>
      <c r="R201" s="136">
        <v>0.0</v>
      </c>
      <c r="S201" s="137">
        <v>45856.0</v>
      </c>
      <c r="T201" s="137">
        <v>46220.0</v>
      </c>
    </row>
    <row r="202" ht="18.0" customHeight="1">
      <c r="A202" s="134" t="s">
        <v>68</v>
      </c>
      <c r="B202" s="134" t="s">
        <v>38</v>
      </c>
      <c r="C202" s="134" t="s">
        <v>39</v>
      </c>
      <c r="D202" s="135">
        <v>825.0</v>
      </c>
      <c r="E202" s="136">
        <v>1250.0</v>
      </c>
      <c r="F202" s="136">
        <v>-690.0</v>
      </c>
      <c r="G202" s="136">
        <v>0.0</v>
      </c>
      <c r="H202" s="136">
        <v>225.0</v>
      </c>
      <c r="I202" s="136">
        <v>144.0</v>
      </c>
      <c r="J202" s="136">
        <v>0.0</v>
      </c>
      <c r="K202" s="136">
        <v>0.0</v>
      </c>
      <c r="L202" s="136">
        <v>881.0</v>
      </c>
      <c r="M202" s="136">
        <v>0.0</v>
      </c>
      <c r="N202" s="136">
        <v>0.0</v>
      </c>
      <c r="O202" s="136">
        <v>0.0</v>
      </c>
      <c r="P202" s="136">
        <v>0.0</v>
      </c>
      <c r="Q202" s="136">
        <v>0.0</v>
      </c>
      <c r="R202" s="136">
        <v>0.0</v>
      </c>
      <c r="S202" s="137">
        <v>45748.0</v>
      </c>
      <c r="T202" s="137">
        <v>46112.0</v>
      </c>
    </row>
    <row r="203" ht="18.0" customHeight="1">
      <c r="A203" s="134" t="s">
        <v>69</v>
      </c>
      <c r="B203" s="134" t="s">
        <v>38</v>
      </c>
      <c r="C203" s="134" t="s">
        <v>47</v>
      </c>
      <c r="D203" s="135">
        <v>825.0</v>
      </c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7"/>
      <c r="T203" s="137"/>
    </row>
    <row r="204" ht="18.0" customHeight="1">
      <c r="A204" s="134" t="s">
        <v>70</v>
      </c>
      <c r="B204" s="134" t="s">
        <v>38</v>
      </c>
      <c r="C204" s="134" t="s">
        <v>39</v>
      </c>
      <c r="D204" s="135">
        <v>825.0</v>
      </c>
      <c r="E204" s="136">
        <v>1250.0</v>
      </c>
      <c r="F204" s="136">
        <v>-1250.0</v>
      </c>
      <c r="G204" s="136">
        <v>0.0</v>
      </c>
      <c r="H204" s="136">
        <v>225.0</v>
      </c>
      <c r="I204" s="136">
        <v>1025.0</v>
      </c>
      <c r="J204" s="136">
        <v>0.0</v>
      </c>
      <c r="K204" s="136">
        <v>0.0</v>
      </c>
      <c r="L204" s="136">
        <v>0.0</v>
      </c>
      <c r="M204" s="136">
        <v>0.0</v>
      </c>
      <c r="N204" s="136">
        <v>0.0</v>
      </c>
      <c r="O204" s="136">
        <v>0.0</v>
      </c>
      <c r="P204" s="136">
        <v>0.0</v>
      </c>
      <c r="Q204" s="136">
        <v>0.0</v>
      </c>
      <c r="R204" s="136">
        <v>0.0</v>
      </c>
      <c r="S204" s="137">
        <v>45596.0</v>
      </c>
      <c r="T204" s="137">
        <v>45960.0</v>
      </c>
    </row>
    <row r="205" ht="18.0" customHeight="1">
      <c r="A205" s="134" t="s">
        <v>71</v>
      </c>
      <c r="B205" s="134" t="s">
        <v>56</v>
      </c>
      <c r="C205" s="134" t="s">
        <v>39</v>
      </c>
      <c r="D205" s="135">
        <v>750.0</v>
      </c>
      <c r="E205" s="136">
        <v>1075.0</v>
      </c>
      <c r="F205" s="136">
        <v>0.0</v>
      </c>
      <c r="G205" s="136">
        <v>0.0</v>
      </c>
      <c r="H205" s="136">
        <v>150.0</v>
      </c>
      <c r="I205" s="136">
        <v>925.0</v>
      </c>
      <c r="J205" s="136">
        <v>0.0</v>
      </c>
      <c r="K205" s="136">
        <v>0.0</v>
      </c>
      <c r="L205" s="136">
        <v>0.0</v>
      </c>
      <c r="M205" s="136">
        <v>0.0</v>
      </c>
      <c r="N205" s="136">
        <v>0.0</v>
      </c>
      <c r="O205" s="136">
        <v>0.0</v>
      </c>
      <c r="P205" s="136">
        <v>0.0</v>
      </c>
      <c r="Q205" s="136">
        <v>0.0</v>
      </c>
      <c r="R205" s="136">
        <v>0.0</v>
      </c>
      <c r="S205" s="137">
        <v>45863.0</v>
      </c>
      <c r="T205" s="137">
        <v>46234.0</v>
      </c>
    </row>
    <row r="206" ht="18.0" customHeight="1">
      <c r="A206" s="134" t="s">
        <v>72</v>
      </c>
      <c r="B206" s="134" t="s">
        <v>38</v>
      </c>
      <c r="C206" s="134" t="s">
        <v>39</v>
      </c>
      <c r="D206" s="135">
        <v>825.0</v>
      </c>
      <c r="E206" s="136">
        <v>1250.0</v>
      </c>
      <c r="F206" s="136">
        <v>1539.51</v>
      </c>
      <c r="G206" s="136">
        <v>0.0</v>
      </c>
      <c r="H206" s="136">
        <v>225.0</v>
      </c>
      <c r="I206" s="136">
        <v>440.0</v>
      </c>
      <c r="J206" s="136">
        <v>0.0</v>
      </c>
      <c r="K206" s="136">
        <v>0.0</v>
      </c>
      <c r="L206" s="136">
        <v>585.0</v>
      </c>
      <c r="M206" s="136">
        <v>0.0</v>
      </c>
      <c r="N206" s="136">
        <v>0.0</v>
      </c>
      <c r="O206" s="136">
        <v>0.0</v>
      </c>
      <c r="P206" s="136">
        <v>0.0</v>
      </c>
      <c r="Q206" s="136">
        <v>0.0</v>
      </c>
      <c r="R206" s="136">
        <v>0.0</v>
      </c>
      <c r="S206" s="137">
        <v>45748.0</v>
      </c>
      <c r="T206" s="137">
        <v>46112.0</v>
      </c>
    </row>
    <row r="207" ht="18.0" customHeight="1">
      <c r="A207" s="134" t="s">
        <v>73</v>
      </c>
      <c r="B207" s="134" t="s">
        <v>38</v>
      </c>
      <c r="C207" s="134" t="s">
        <v>39</v>
      </c>
      <c r="D207" s="135">
        <v>825.0</v>
      </c>
      <c r="E207" s="136">
        <v>1220.0</v>
      </c>
      <c r="F207" s="136">
        <v>-0.26</v>
      </c>
      <c r="G207" s="136">
        <v>0.0</v>
      </c>
      <c r="H207" s="136">
        <v>225.0</v>
      </c>
      <c r="I207" s="136">
        <v>199.0</v>
      </c>
      <c r="J207" s="136">
        <v>0.0</v>
      </c>
      <c r="K207" s="136">
        <v>0.0</v>
      </c>
      <c r="L207" s="136">
        <v>796.0</v>
      </c>
      <c r="M207" s="136">
        <v>0.0</v>
      </c>
      <c r="N207" s="136">
        <v>0.0</v>
      </c>
      <c r="O207" s="136">
        <v>0.0</v>
      </c>
      <c r="P207" s="136">
        <v>0.0</v>
      </c>
      <c r="Q207" s="136">
        <v>0.0</v>
      </c>
      <c r="R207" s="136">
        <v>0.0</v>
      </c>
      <c r="S207" s="137">
        <v>45783.0</v>
      </c>
      <c r="T207" s="137">
        <v>46172.0</v>
      </c>
    </row>
    <row r="208" ht="18.0" customHeight="1">
      <c r="A208" s="134" t="s">
        <v>74</v>
      </c>
      <c r="B208" s="134" t="s">
        <v>38</v>
      </c>
      <c r="C208" s="134" t="s">
        <v>39</v>
      </c>
      <c r="D208" s="135">
        <v>825.0</v>
      </c>
      <c r="E208" s="136">
        <v>1275.0</v>
      </c>
      <c r="F208" s="136">
        <v>-91.25</v>
      </c>
      <c r="G208" s="136">
        <v>0.0</v>
      </c>
      <c r="H208" s="136">
        <v>225.0</v>
      </c>
      <c r="I208" s="136">
        <v>222.0</v>
      </c>
      <c r="J208" s="136">
        <v>0.0</v>
      </c>
      <c r="K208" s="136">
        <v>0.0</v>
      </c>
      <c r="L208" s="136">
        <v>803.0</v>
      </c>
      <c r="M208" s="136">
        <v>0.0</v>
      </c>
      <c r="N208" s="136">
        <v>0.0</v>
      </c>
      <c r="O208" s="136">
        <v>0.0</v>
      </c>
      <c r="P208" s="136">
        <v>25.0</v>
      </c>
      <c r="Q208" s="136">
        <v>0.0</v>
      </c>
      <c r="R208" s="136">
        <v>0.0</v>
      </c>
      <c r="S208" s="137">
        <v>45413.0</v>
      </c>
      <c r="T208" s="137"/>
    </row>
    <row r="209" ht="18.0" customHeight="1">
      <c r="A209" s="134" t="s">
        <v>76</v>
      </c>
      <c r="B209" s="134" t="s">
        <v>56</v>
      </c>
      <c r="C209" s="134" t="s">
        <v>39</v>
      </c>
      <c r="D209" s="135">
        <v>750.0</v>
      </c>
      <c r="E209" s="136">
        <v>1183.0</v>
      </c>
      <c r="F209" s="136">
        <v>1750.0</v>
      </c>
      <c r="G209" s="136">
        <v>0.0</v>
      </c>
      <c r="H209" s="136">
        <v>288.0</v>
      </c>
      <c r="I209" s="136">
        <v>895.0</v>
      </c>
      <c r="J209" s="136">
        <v>0.0</v>
      </c>
      <c r="K209" s="136">
        <v>0.0</v>
      </c>
      <c r="L209" s="136">
        <v>0.0</v>
      </c>
      <c r="M209" s="136">
        <v>0.0</v>
      </c>
      <c r="N209" s="136">
        <v>0.0</v>
      </c>
      <c r="O209" s="136">
        <v>0.0</v>
      </c>
      <c r="P209" s="136">
        <v>0.0</v>
      </c>
      <c r="Q209" s="136">
        <v>0.0</v>
      </c>
      <c r="R209" s="136">
        <v>0.0</v>
      </c>
      <c r="S209" s="137">
        <v>45748.0</v>
      </c>
      <c r="T209" s="137">
        <v>46112.0</v>
      </c>
    </row>
    <row r="210" ht="18.0" customHeight="1">
      <c r="A210" s="134" t="s">
        <v>77</v>
      </c>
      <c r="B210" s="134" t="s">
        <v>38</v>
      </c>
      <c r="C210" s="134" t="s">
        <v>39</v>
      </c>
      <c r="D210" s="135">
        <v>825.0</v>
      </c>
      <c r="E210" s="136">
        <v>1275.0</v>
      </c>
      <c r="F210" s="136">
        <v>0.0</v>
      </c>
      <c r="G210" s="136">
        <v>0.0</v>
      </c>
      <c r="H210" s="136">
        <v>225.0</v>
      </c>
      <c r="I210" s="136">
        <v>1025.0</v>
      </c>
      <c r="J210" s="136">
        <v>0.0</v>
      </c>
      <c r="K210" s="136">
        <v>0.0</v>
      </c>
      <c r="L210" s="136">
        <v>0.0</v>
      </c>
      <c r="M210" s="136">
        <v>0.0</v>
      </c>
      <c r="N210" s="136">
        <v>0.0</v>
      </c>
      <c r="O210" s="136">
        <v>25.0</v>
      </c>
      <c r="P210" s="136">
        <v>0.0</v>
      </c>
      <c r="Q210" s="136">
        <v>0.0</v>
      </c>
      <c r="R210" s="136">
        <v>0.0</v>
      </c>
      <c r="S210" s="137">
        <v>45856.0</v>
      </c>
      <c r="T210" s="137">
        <v>46220.0</v>
      </c>
    </row>
    <row r="211" ht="18.0" customHeight="1">
      <c r="A211" s="134" t="s">
        <v>78</v>
      </c>
      <c r="B211" s="134" t="s">
        <v>38</v>
      </c>
      <c r="C211" s="134" t="s">
        <v>39</v>
      </c>
      <c r="D211" s="135">
        <v>825.0</v>
      </c>
      <c r="E211" s="136">
        <v>1250.0</v>
      </c>
      <c r="F211" s="136">
        <v>-3.0</v>
      </c>
      <c r="G211" s="136">
        <v>0.0</v>
      </c>
      <c r="H211" s="136">
        <v>225.0</v>
      </c>
      <c r="I211" s="136">
        <v>508.0</v>
      </c>
      <c r="J211" s="136">
        <v>0.0</v>
      </c>
      <c r="K211" s="136">
        <v>0.0</v>
      </c>
      <c r="L211" s="136">
        <v>517.0</v>
      </c>
      <c r="M211" s="136">
        <v>0.0</v>
      </c>
      <c r="N211" s="136">
        <v>0.0</v>
      </c>
      <c r="O211" s="136">
        <v>0.0</v>
      </c>
      <c r="P211" s="136">
        <v>0.0</v>
      </c>
      <c r="Q211" s="136">
        <v>0.0</v>
      </c>
      <c r="R211" s="136">
        <v>0.0</v>
      </c>
      <c r="S211" s="137">
        <v>45960.0</v>
      </c>
      <c r="T211" s="137">
        <v>46301.0</v>
      </c>
    </row>
    <row r="212" ht="18.0" customHeight="1">
      <c r="A212" s="134" t="s">
        <v>79</v>
      </c>
      <c r="B212" s="134" t="s">
        <v>38</v>
      </c>
      <c r="C212" s="134" t="s">
        <v>39</v>
      </c>
      <c r="D212" s="135">
        <v>825.0</v>
      </c>
      <c r="E212" s="136">
        <v>1250.0</v>
      </c>
      <c r="F212" s="136">
        <v>-1250.0</v>
      </c>
      <c r="G212" s="136">
        <v>0.0</v>
      </c>
      <c r="H212" s="136">
        <v>225.0</v>
      </c>
      <c r="I212" s="136">
        <v>1025.0</v>
      </c>
      <c r="J212" s="136">
        <v>0.0</v>
      </c>
      <c r="K212" s="136">
        <v>0.0</v>
      </c>
      <c r="L212" s="136">
        <v>0.0</v>
      </c>
      <c r="M212" s="136">
        <v>0.0</v>
      </c>
      <c r="N212" s="136">
        <v>0.0</v>
      </c>
      <c r="O212" s="136">
        <v>0.0</v>
      </c>
      <c r="P212" s="136">
        <v>0.0</v>
      </c>
      <c r="Q212" s="136">
        <v>0.0</v>
      </c>
      <c r="R212" s="136">
        <v>0.0</v>
      </c>
      <c r="S212" s="137">
        <v>45904.0</v>
      </c>
      <c r="T212" s="137">
        <v>46268.0</v>
      </c>
    </row>
    <row r="213" ht="18.0" customHeight="1">
      <c r="A213" s="134" t="s">
        <v>80</v>
      </c>
      <c r="B213" s="134" t="s">
        <v>38</v>
      </c>
      <c r="C213" s="134" t="s">
        <v>39</v>
      </c>
      <c r="D213" s="135">
        <v>825.0</v>
      </c>
      <c r="E213" s="136">
        <v>1250.0</v>
      </c>
      <c r="F213" s="136">
        <v>664.02</v>
      </c>
      <c r="G213" s="136">
        <v>0.0</v>
      </c>
      <c r="H213" s="136">
        <v>225.0</v>
      </c>
      <c r="I213" s="136">
        <v>1025.0</v>
      </c>
      <c r="J213" s="136">
        <v>0.0</v>
      </c>
      <c r="K213" s="136">
        <v>0.0</v>
      </c>
      <c r="L213" s="136">
        <v>0.0</v>
      </c>
      <c r="M213" s="136">
        <v>0.0</v>
      </c>
      <c r="N213" s="136">
        <v>0.0</v>
      </c>
      <c r="O213" s="136">
        <v>0.0</v>
      </c>
      <c r="P213" s="136">
        <v>0.0</v>
      </c>
      <c r="Q213" s="136">
        <v>0.0</v>
      </c>
      <c r="R213" s="136">
        <v>0.0</v>
      </c>
      <c r="S213" s="137">
        <v>45868.0</v>
      </c>
      <c r="T213" s="137">
        <v>46234.0</v>
      </c>
    </row>
    <row r="214" ht="18.0" customHeight="1">
      <c r="A214" s="134" t="s">
        <v>81</v>
      </c>
      <c r="B214" s="134" t="s">
        <v>56</v>
      </c>
      <c r="C214" s="134" t="s">
        <v>107</v>
      </c>
      <c r="D214" s="135">
        <v>750.0</v>
      </c>
      <c r="E214" s="136">
        <v>1075.0</v>
      </c>
      <c r="F214" s="136">
        <v>0.0</v>
      </c>
      <c r="G214" s="136">
        <v>0.0</v>
      </c>
      <c r="H214" s="136">
        <v>150.0</v>
      </c>
      <c r="I214" s="136">
        <v>925.0</v>
      </c>
      <c r="J214" s="136">
        <v>0.0</v>
      </c>
      <c r="K214" s="136">
        <v>0.0</v>
      </c>
      <c r="L214" s="136">
        <v>0.0</v>
      </c>
      <c r="M214" s="136">
        <v>0.0</v>
      </c>
      <c r="N214" s="136">
        <v>0.0</v>
      </c>
      <c r="O214" s="136">
        <v>0.0</v>
      </c>
      <c r="P214" s="136">
        <v>0.0</v>
      </c>
      <c r="Q214" s="136">
        <v>0.0</v>
      </c>
      <c r="R214" s="136">
        <v>0.0</v>
      </c>
      <c r="S214" s="137">
        <v>45717.0</v>
      </c>
      <c r="T214" s="137">
        <v>46081.0</v>
      </c>
    </row>
    <row r="215" ht="18.0" customHeight="1">
      <c r="A215" s="134" t="s">
        <v>82</v>
      </c>
      <c r="B215" s="134" t="s">
        <v>38</v>
      </c>
      <c r="C215" s="134" t="s">
        <v>39</v>
      </c>
      <c r="D215" s="135">
        <v>825.0</v>
      </c>
      <c r="E215" s="136">
        <v>1300.0</v>
      </c>
      <c r="F215" s="136">
        <v>0.0</v>
      </c>
      <c r="G215" s="136">
        <v>0.0</v>
      </c>
      <c r="H215" s="136">
        <v>225.0</v>
      </c>
      <c r="I215" s="136">
        <v>0.0</v>
      </c>
      <c r="J215" s="136">
        <v>0.0</v>
      </c>
      <c r="K215" s="136">
        <v>0.0</v>
      </c>
      <c r="L215" s="136">
        <v>1075.0</v>
      </c>
      <c r="M215" s="136">
        <v>0.0</v>
      </c>
      <c r="N215" s="136">
        <v>0.0</v>
      </c>
      <c r="O215" s="136">
        <v>0.0</v>
      </c>
      <c r="P215" s="136">
        <v>0.0</v>
      </c>
      <c r="Q215" s="136">
        <v>0.0</v>
      </c>
      <c r="R215" s="136">
        <v>0.0</v>
      </c>
      <c r="S215" s="137">
        <v>45390.0</v>
      </c>
      <c r="T215" s="137">
        <v>46233.0</v>
      </c>
    </row>
    <row r="216" ht="18.0" customHeight="1">
      <c r="A216" s="134" t="s">
        <v>83</v>
      </c>
      <c r="B216" s="134" t="s">
        <v>38</v>
      </c>
      <c r="C216" s="134" t="s">
        <v>39</v>
      </c>
      <c r="D216" s="135">
        <v>825.0</v>
      </c>
      <c r="E216" s="136">
        <v>1250.0</v>
      </c>
      <c r="F216" s="136">
        <v>0.0</v>
      </c>
      <c r="G216" s="136">
        <v>0.0</v>
      </c>
      <c r="H216" s="136">
        <v>225.0</v>
      </c>
      <c r="I216" s="136">
        <v>1025.0</v>
      </c>
      <c r="J216" s="136">
        <v>0.0</v>
      </c>
      <c r="K216" s="136">
        <v>0.0</v>
      </c>
      <c r="L216" s="136">
        <v>0.0</v>
      </c>
      <c r="M216" s="136">
        <v>0.0</v>
      </c>
      <c r="N216" s="136">
        <v>0.0</v>
      </c>
      <c r="O216" s="136">
        <v>0.0</v>
      </c>
      <c r="P216" s="136">
        <v>0.0</v>
      </c>
      <c r="Q216" s="136">
        <v>0.0</v>
      </c>
      <c r="R216" s="136">
        <v>0.0</v>
      </c>
      <c r="S216" s="137">
        <v>45642.0</v>
      </c>
      <c r="T216" s="137">
        <v>46568.0</v>
      </c>
    </row>
    <row r="217" ht="18.0" customHeight="1">
      <c r="A217" s="134" t="s">
        <v>84</v>
      </c>
      <c r="B217" s="134" t="s">
        <v>38</v>
      </c>
      <c r="C217" s="134" t="s">
        <v>47</v>
      </c>
      <c r="D217" s="135">
        <v>825.0</v>
      </c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7"/>
      <c r="T217" s="137"/>
    </row>
    <row r="218" ht="18.0" customHeight="1">
      <c r="A218" s="134" t="s">
        <v>85</v>
      </c>
      <c r="B218" s="134" t="s">
        <v>56</v>
      </c>
      <c r="C218" s="134" t="s">
        <v>39</v>
      </c>
      <c r="D218" s="135">
        <v>750.0</v>
      </c>
      <c r="E218" s="136">
        <v>1075.0</v>
      </c>
      <c r="F218" s="136">
        <v>0.0</v>
      </c>
      <c r="G218" s="136">
        <v>0.0</v>
      </c>
      <c r="H218" s="136">
        <v>125.0</v>
      </c>
      <c r="I218" s="136">
        <v>950.0</v>
      </c>
      <c r="J218" s="136">
        <v>0.0</v>
      </c>
      <c r="K218" s="136">
        <v>0.0</v>
      </c>
      <c r="L218" s="136">
        <v>0.0</v>
      </c>
      <c r="M218" s="136">
        <v>0.0</v>
      </c>
      <c r="N218" s="136">
        <v>0.0</v>
      </c>
      <c r="O218" s="136">
        <v>0.0</v>
      </c>
      <c r="P218" s="136">
        <v>0.0</v>
      </c>
      <c r="Q218" s="136">
        <v>0.0</v>
      </c>
      <c r="R218" s="136">
        <v>0.0</v>
      </c>
      <c r="S218" s="137">
        <v>45490.0</v>
      </c>
      <c r="T218" s="137">
        <v>46219.0</v>
      </c>
    </row>
    <row r="219" ht="18.0" customHeight="1">
      <c r="A219" s="134" t="s">
        <v>86</v>
      </c>
      <c r="B219" s="134" t="s">
        <v>38</v>
      </c>
      <c r="C219" s="134" t="s">
        <v>47</v>
      </c>
      <c r="D219" s="135">
        <v>825.0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7"/>
      <c r="T219" s="137"/>
    </row>
    <row r="220" ht="18.0" customHeight="1">
      <c r="A220" s="134" t="s">
        <v>87</v>
      </c>
      <c r="B220" s="134" t="s">
        <v>38</v>
      </c>
      <c r="C220" s="134" t="s">
        <v>39</v>
      </c>
      <c r="D220" s="135">
        <v>825.0</v>
      </c>
      <c r="E220" s="136">
        <v>1200.0</v>
      </c>
      <c r="F220" s="136">
        <v>0.0</v>
      </c>
      <c r="G220" s="136">
        <v>0.0</v>
      </c>
      <c r="H220" s="136">
        <v>225.0</v>
      </c>
      <c r="I220" s="136">
        <v>975.0</v>
      </c>
      <c r="J220" s="136">
        <v>0.0</v>
      </c>
      <c r="K220" s="136">
        <v>0.0</v>
      </c>
      <c r="L220" s="136">
        <v>0.0</v>
      </c>
      <c r="M220" s="136">
        <v>0.0</v>
      </c>
      <c r="N220" s="136">
        <v>0.0</v>
      </c>
      <c r="O220" s="136">
        <v>0.0</v>
      </c>
      <c r="P220" s="136">
        <v>0.0</v>
      </c>
      <c r="Q220" s="136">
        <v>0.0</v>
      </c>
      <c r="R220" s="136">
        <v>0.0</v>
      </c>
      <c r="S220" s="137">
        <v>45078.0</v>
      </c>
      <c r="T220" s="137">
        <v>46094.0</v>
      </c>
    </row>
    <row r="221" ht="18.0" customHeight="1">
      <c r="A221" s="134" t="s">
        <v>88</v>
      </c>
      <c r="B221" s="134" t="s">
        <v>56</v>
      </c>
      <c r="C221" s="134" t="s">
        <v>39</v>
      </c>
      <c r="D221" s="135">
        <v>750.0</v>
      </c>
      <c r="E221" s="136">
        <v>1183.0</v>
      </c>
      <c r="F221" s="136">
        <v>1750.0</v>
      </c>
      <c r="G221" s="136">
        <v>0.0</v>
      </c>
      <c r="H221" s="136">
        <v>183.0</v>
      </c>
      <c r="I221" s="136">
        <v>1000.0</v>
      </c>
      <c r="J221" s="136">
        <v>0.0</v>
      </c>
      <c r="K221" s="136">
        <v>0.0</v>
      </c>
      <c r="L221" s="136">
        <v>0.0</v>
      </c>
      <c r="M221" s="136">
        <v>0.0</v>
      </c>
      <c r="N221" s="136">
        <v>0.0</v>
      </c>
      <c r="O221" s="136">
        <v>0.0</v>
      </c>
      <c r="P221" s="136">
        <v>0.0</v>
      </c>
      <c r="Q221" s="136">
        <v>0.0</v>
      </c>
      <c r="R221" s="136">
        <v>0.0</v>
      </c>
      <c r="S221" s="137">
        <v>45809.0</v>
      </c>
      <c r="T221" s="137">
        <v>46173.0</v>
      </c>
    </row>
    <row r="222" ht="18.0" customHeight="1">
      <c r="A222" s="134" t="s">
        <v>89</v>
      </c>
      <c r="B222" s="134" t="s">
        <v>38</v>
      </c>
      <c r="C222" s="134" t="s">
        <v>39</v>
      </c>
      <c r="D222" s="135">
        <v>825.0</v>
      </c>
      <c r="E222" s="136">
        <v>1300.0</v>
      </c>
      <c r="F222" s="136">
        <v>0.0</v>
      </c>
      <c r="G222" s="136">
        <v>0.0</v>
      </c>
      <c r="H222" s="136">
        <v>225.0</v>
      </c>
      <c r="I222" s="136">
        <v>408.0</v>
      </c>
      <c r="J222" s="136">
        <v>0.0</v>
      </c>
      <c r="K222" s="136">
        <v>0.0</v>
      </c>
      <c r="L222" s="136">
        <v>667.0</v>
      </c>
      <c r="M222" s="136">
        <v>0.0</v>
      </c>
      <c r="N222" s="136">
        <v>0.0</v>
      </c>
      <c r="O222" s="136">
        <v>0.0</v>
      </c>
      <c r="P222" s="136">
        <v>0.0</v>
      </c>
      <c r="Q222" s="136">
        <v>0.0</v>
      </c>
      <c r="R222" s="136">
        <v>0.0</v>
      </c>
      <c r="S222" s="137">
        <v>45717.0</v>
      </c>
      <c r="T222" s="137">
        <v>46265.0</v>
      </c>
    </row>
    <row r="223" ht="18.0" customHeight="1">
      <c r="A223" s="134" t="s">
        <v>90</v>
      </c>
      <c r="B223" s="134" t="s">
        <v>56</v>
      </c>
      <c r="C223" s="134" t="s">
        <v>39</v>
      </c>
      <c r="D223" s="135">
        <v>750.0</v>
      </c>
      <c r="E223" s="136">
        <v>1045.0</v>
      </c>
      <c r="F223" s="136">
        <v>-150.0</v>
      </c>
      <c r="G223" s="136">
        <v>0.0</v>
      </c>
      <c r="H223" s="136">
        <v>150.0</v>
      </c>
      <c r="I223" s="136">
        <v>895.0</v>
      </c>
      <c r="J223" s="136">
        <v>0.0</v>
      </c>
      <c r="K223" s="136">
        <v>0.0</v>
      </c>
      <c r="L223" s="136">
        <v>0.0</v>
      </c>
      <c r="M223" s="136">
        <v>0.0</v>
      </c>
      <c r="N223" s="136">
        <v>0.0</v>
      </c>
      <c r="O223" s="136">
        <v>0.0</v>
      </c>
      <c r="P223" s="136">
        <v>0.0</v>
      </c>
      <c r="Q223" s="136">
        <v>0.0</v>
      </c>
      <c r="R223" s="136">
        <v>0.0</v>
      </c>
      <c r="S223" s="137">
        <v>45778.0</v>
      </c>
      <c r="T223" s="137">
        <v>46142.0</v>
      </c>
    </row>
    <row r="224" ht="18.0" customHeight="1">
      <c r="A224" s="134" t="s">
        <v>91</v>
      </c>
      <c r="B224" s="134" t="s">
        <v>38</v>
      </c>
      <c r="C224" s="134" t="s">
        <v>39</v>
      </c>
      <c r="D224" s="135">
        <v>825.0</v>
      </c>
      <c r="E224" s="136">
        <v>1250.0</v>
      </c>
      <c r="F224" s="136">
        <v>0.0</v>
      </c>
      <c r="G224" s="136">
        <v>0.0</v>
      </c>
      <c r="H224" s="136">
        <v>225.0</v>
      </c>
      <c r="I224" s="136">
        <v>1025.0</v>
      </c>
      <c r="J224" s="136">
        <v>0.0</v>
      </c>
      <c r="K224" s="136">
        <v>0.0</v>
      </c>
      <c r="L224" s="136">
        <v>0.0</v>
      </c>
      <c r="M224" s="136">
        <v>0.0</v>
      </c>
      <c r="N224" s="136">
        <v>0.0</v>
      </c>
      <c r="O224" s="136">
        <v>0.0</v>
      </c>
      <c r="P224" s="136">
        <v>0.0</v>
      </c>
      <c r="Q224" s="136">
        <v>0.0</v>
      </c>
      <c r="R224" s="136">
        <v>0.0</v>
      </c>
      <c r="S224" s="137">
        <v>45820.0</v>
      </c>
      <c r="T224" s="137">
        <v>46203.0</v>
      </c>
    </row>
    <row r="225" ht="18.0" customHeight="1">
      <c r="A225" s="134" t="s">
        <v>92</v>
      </c>
      <c r="B225" s="134" t="s">
        <v>38</v>
      </c>
      <c r="C225" s="134" t="s">
        <v>39</v>
      </c>
      <c r="D225" s="135">
        <v>825.0</v>
      </c>
      <c r="E225" s="136">
        <v>1225.0</v>
      </c>
      <c r="F225" s="136">
        <v>400.0</v>
      </c>
      <c r="G225" s="136">
        <v>0.0</v>
      </c>
      <c r="H225" s="136">
        <v>225.0</v>
      </c>
      <c r="I225" s="136">
        <v>1000.0</v>
      </c>
      <c r="J225" s="136">
        <v>0.0</v>
      </c>
      <c r="K225" s="136">
        <v>0.0</v>
      </c>
      <c r="L225" s="136">
        <v>0.0</v>
      </c>
      <c r="M225" s="136">
        <v>0.0</v>
      </c>
      <c r="N225" s="136">
        <v>0.0</v>
      </c>
      <c r="O225" s="136">
        <v>0.0</v>
      </c>
      <c r="P225" s="136">
        <v>0.0</v>
      </c>
      <c r="Q225" s="136">
        <v>0.0</v>
      </c>
      <c r="R225" s="136">
        <v>0.0</v>
      </c>
      <c r="S225" s="137">
        <v>45413.0</v>
      </c>
      <c r="T225" s="137">
        <v>46387.0</v>
      </c>
    </row>
    <row r="226" ht="18.0" customHeight="1">
      <c r="A226" s="134" t="s">
        <v>93</v>
      </c>
      <c r="B226" s="134" t="s">
        <v>38</v>
      </c>
      <c r="C226" s="134" t="s">
        <v>39</v>
      </c>
      <c r="D226" s="135">
        <v>825.0</v>
      </c>
      <c r="E226" s="136">
        <v>1175.0</v>
      </c>
      <c r="F226" s="136">
        <v>30.0</v>
      </c>
      <c r="G226" s="136">
        <v>0.0</v>
      </c>
      <c r="H226" s="136">
        <v>225.0</v>
      </c>
      <c r="I226" s="136">
        <v>950.0</v>
      </c>
      <c r="J226" s="136">
        <v>0.0</v>
      </c>
      <c r="K226" s="136">
        <v>0.0</v>
      </c>
      <c r="L226" s="136">
        <v>0.0</v>
      </c>
      <c r="M226" s="136">
        <v>0.0</v>
      </c>
      <c r="N226" s="136">
        <v>0.0</v>
      </c>
      <c r="O226" s="136">
        <v>0.0</v>
      </c>
      <c r="P226" s="136">
        <v>0.0</v>
      </c>
      <c r="Q226" s="136">
        <v>0.0</v>
      </c>
      <c r="R226" s="136">
        <v>0.0</v>
      </c>
      <c r="S226" s="137">
        <v>45170.0</v>
      </c>
      <c r="T226" s="137">
        <v>46387.0</v>
      </c>
    </row>
    <row r="227" ht="18.0" customHeight="1">
      <c r="A227" s="134" t="s">
        <v>94</v>
      </c>
      <c r="B227" s="134" t="s">
        <v>38</v>
      </c>
      <c r="C227" s="134" t="s">
        <v>39</v>
      </c>
      <c r="D227" s="135">
        <v>825.0</v>
      </c>
      <c r="E227" s="136">
        <v>1220.0</v>
      </c>
      <c r="F227" s="136">
        <v>-5.0</v>
      </c>
      <c r="G227" s="136">
        <v>0.0</v>
      </c>
      <c r="H227" s="136">
        <v>225.0</v>
      </c>
      <c r="I227" s="136">
        <v>995.0</v>
      </c>
      <c r="J227" s="136">
        <v>0.0</v>
      </c>
      <c r="K227" s="136">
        <v>0.0</v>
      </c>
      <c r="L227" s="136">
        <v>0.0</v>
      </c>
      <c r="M227" s="136">
        <v>0.0</v>
      </c>
      <c r="N227" s="136">
        <v>0.0</v>
      </c>
      <c r="O227" s="136">
        <v>0.0</v>
      </c>
      <c r="P227" s="136">
        <v>0.0</v>
      </c>
      <c r="Q227" s="136">
        <v>0.0</v>
      </c>
      <c r="R227" s="136">
        <v>0.0</v>
      </c>
      <c r="S227" s="137">
        <v>45778.0</v>
      </c>
      <c r="T227" s="137">
        <v>46143.0</v>
      </c>
    </row>
    <row r="228" ht="18.0" customHeight="1">
      <c r="A228" s="134" t="s">
        <v>95</v>
      </c>
      <c r="B228" s="134" t="s">
        <v>56</v>
      </c>
      <c r="C228" s="134" t="s">
        <v>39</v>
      </c>
      <c r="D228" s="135">
        <v>750.0</v>
      </c>
      <c r="E228" s="136">
        <v>1125.0</v>
      </c>
      <c r="F228" s="136">
        <v>48.75</v>
      </c>
      <c r="G228" s="136">
        <v>0.0</v>
      </c>
      <c r="H228" s="136">
        <v>150.0</v>
      </c>
      <c r="I228" s="136">
        <v>975.0</v>
      </c>
      <c r="J228" s="136">
        <v>0.0</v>
      </c>
      <c r="K228" s="136">
        <v>0.0</v>
      </c>
      <c r="L228" s="136">
        <v>0.0</v>
      </c>
      <c r="M228" s="136">
        <v>0.0</v>
      </c>
      <c r="N228" s="136">
        <v>0.0</v>
      </c>
      <c r="O228" s="136">
        <v>0.0</v>
      </c>
      <c r="P228" s="136">
        <v>0.0</v>
      </c>
      <c r="Q228" s="136">
        <v>0.0</v>
      </c>
      <c r="R228" s="136">
        <v>0.0</v>
      </c>
      <c r="S228" s="137">
        <v>45047.0</v>
      </c>
      <c r="T228" s="137">
        <v>46356.0</v>
      </c>
    </row>
    <row r="229" ht="18.0" customHeight="1">
      <c r="A229" s="134" t="s">
        <v>96</v>
      </c>
      <c r="B229" s="134" t="s">
        <v>38</v>
      </c>
      <c r="C229" s="134" t="s">
        <v>39</v>
      </c>
      <c r="D229" s="135">
        <v>825.0</v>
      </c>
      <c r="E229" s="136">
        <v>1250.0</v>
      </c>
      <c r="F229" s="136">
        <v>-20.0</v>
      </c>
      <c r="G229" s="136">
        <v>0.0</v>
      </c>
      <c r="H229" s="136">
        <v>225.0</v>
      </c>
      <c r="I229" s="136">
        <v>1025.0</v>
      </c>
      <c r="J229" s="136">
        <v>0.0</v>
      </c>
      <c r="K229" s="136">
        <v>0.0</v>
      </c>
      <c r="L229" s="136">
        <v>0.0</v>
      </c>
      <c r="M229" s="136">
        <v>0.0</v>
      </c>
      <c r="N229" s="136">
        <v>0.0</v>
      </c>
      <c r="O229" s="136">
        <v>0.0</v>
      </c>
      <c r="P229" s="136">
        <v>0.0</v>
      </c>
      <c r="Q229" s="136">
        <v>0.0</v>
      </c>
      <c r="R229" s="136">
        <v>0.0</v>
      </c>
      <c r="S229" s="137">
        <v>45727.0</v>
      </c>
      <c r="T229" s="137">
        <v>46446.0</v>
      </c>
    </row>
    <row r="230" ht="18.0" customHeight="1">
      <c r="A230" s="134" t="s">
        <v>97</v>
      </c>
      <c r="B230" s="134" t="s">
        <v>38</v>
      </c>
      <c r="C230" s="134" t="s">
        <v>39</v>
      </c>
      <c r="D230" s="135">
        <v>825.0</v>
      </c>
      <c r="E230" s="136">
        <v>1150.0</v>
      </c>
      <c r="F230" s="136">
        <v>0.0</v>
      </c>
      <c r="G230" s="136">
        <v>0.0</v>
      </c>
      <c r="H230" s="136">
        <v>225.0</v>
      </c>
      <c r="I230" s="136">
        <v>925.0</v>
      </c>
      <c r="J230" s="136">
        <v>0.0</v>
      </c>
      <c r="K230" s="136">
        <v>0.0</v>
      </c>
      <c r="L230" s="136">
        <v>0.0</v>
      </c>
      <c r="M230" s="136">
        <v>0.0</v>
      </c>
      <c r="N230" s="136">
        <v>0.0</v>
      </c>
      <c r="O230" s="136">
        <v>0.0</v>
      </c>
      <c r="P230" s="136">
        <v>0.0</v>
      </c>
      <c r="Q230" s="136">
        <v>0.0</v>
      </c>
      <c r="R230" s="136">
        <v>0.0</v>
      </c>
      <c r="S230" s="137">
        <v>44835.0</v>
      </c>
      <c r="T230" s="137">
        <v>45930.0</v>
      </c>
    </row>
    <row r="231" ht="18.0" customHeight="1">
      <c r="A231" s="134" t="s">
        <v>98</v>
      </c>
      <c r="B231" s="134" t="s">
        <v>38</v>
      </c>
      <c r="C231" s="134" t="s">
        <v>39</v>
      </c>
      <c r="D231" s="135">
        <v>825.0</v>
      </c>
      <c r="E231" s="136">
        <v>1250.0</v>
      </c>
      <c r="F231" s="136">
        <v>0.0</v>
      </c>
      <c r="G231" s="136">
        <v>0.0</v>
      </c>
      <c r="H231" s="136">
        <v>225.0</v>
      </c>
      <c r="I231" s="136">
        <v>1025.0</v>
      </c>
      <c r="J231" s="136">
        <v>0.0</v>
      </c>
      <c r="K231" s="136">
        <v>0.0</v>
      </c>
      <c r="L231" s="136">
        <v>0.0</v>
      </c>
      <c r="M231" s="136">
        <v>0.0</v>
      </c>
      <c r="N231" s="136">
        <v>0.0</v>
      </c>
      <c r="O231" s="136">
        <v>0.0</v>
      </c>
      <c r="P231" s="136">
        <v>0.0</v>
      </c>
      <c r="Q231" s="136">
        <v>0.0</v>
      </c>
      <c r="R231" s="136">
        <v>0.0</v>
      </c>
      <c r="S231" s="137">
        <v>45511.0</v>
      </c>
      <c r="T231" s="137"/>
    </row>
    <row r="232" ht="18.0" customHeight="1">
      <c r="A232" s="134" t="s">
        <v>229</v>
      </c>
      <c r="B232" s="134" t="s">
        <v>38</v>
      </c>
      <c r="C232" s="134" t="s">
        <v>39</v>
      </c>
      <c r="D232" s="135">
        <v>825.0</v>
      </c>
      <c r="E232" s="136">
        <v>1220.0</v>
      </c>
      <c r="F232" s="136">
        <v>1139.25</v>
      </c>
      <c r="G232" s="136">
        <v>0.0</v>
      </c>
      <c r="H232" s="136">
        <v>225.0</v>
      </c>
      <c r="I232" s="136">
        <v>995.0</v>
      </c>
      <c r="J232" s="136">
        <v>0.0</v>
      </c>
      <c r="K232" s="136">
        <v>0.0</v>
      </c>
      <c r="L232" s="136">
        <v>0.0</v>
      </c>
      <c r="M232" s="136">
        <v>0.0</v>
      </c>
      <c r="N232" s="136">
        <v>0.0</v>
      </c>
      <c r="O232" s="136">
        <v>0.0</v>
      </c>
      <c r="P232" s="136">
        <v>0.0</v>
      </c>
      <c r="Q232" s="136">
        <v>0.0</v>
      </c>
      <c r="R232" s="136">
        <v>0.0</v>
      </c>
      <c r="S232" s="137">
        <v>45757.0</v>
      </c>
      <c r="T232" s="137">
        <v>46121.0</v>
      </c>
    </row>
    <row r="233" ht="18.0" customHeight="1">
      <c r="A233" s="134" t="s">
        <v>230</v>
      </c>
      <c r="B233" s="134" t="s">
        <v>38</v>
      </c>
      <c r="C233" s="134" t="s">
        <v>39</v>
      </c>
      <c r="D233" s="135">
        <v>825.0</v>
      </c>
      <c r="E233" s="136">
        <v>1250.0</v>
      </c>
      <c r="F233" s="136">
        <v>18.0</v>
      </c>
      <c r="G233" s="136">
        <v>0.0</v>
      </c>
      <c r="H233" s="136">
        <v>225.0</v>
      </c>
      <c r="I233" s="136">
        <v>448.0</v>
      </c>
      <c r="J233" s="136">
        <v>0.0</v>
      </c>
      <c r="K233" s="136">
        <v>0.0</v>
      </c>
      <c r="L233" s="136">
        <v>577.0</v>
      </c>
      <c r="M233" s="136">
        <v>0.0</v>
      </c>
      <c r="N233" s="136">
        <v>0.0</v>
      </c>
      <c r="O233" s="136">
        <v>0.0</v>
      </c>
      <c r="P233" s="136">
        <v>0.0</v>
      </c>
      <c r="Q233" s="136">
        <v>0.0</v>
      </c>
      <c r="R233" s="136">
        <v>0.0</v>
      </c>
      <c r="S233" s="137">
        <v>45536.0</v>
      </c>
      <c r="T233" s="137">
        <v>46264.0</v>
      </c>
    </row>
    <row r="234" ht="18.0" customHeight="1">
      <c r="A234" s="134" t="s">
        <v>231</v>
      </c>
      <c r="B234" s="134" t="s">
        <v>56</v>
      </c>
      <c r="C234" s="134" t="s">
        <v>47</v>
      </c>
      <c r="D234" s="135">
        <v>750.0</v>
      </c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7"/>
      <c r="T234" s="137"/>
    </row>
    <row r="235" ht="18.0" customHeight="1">
      <c r="A235" s="134" t="s">
        <v>232</v>
      </c>
      <c r="B235" s="134" t="s">
        <v>38</v>
      </c>
      <c r="C235" s="134" t="s">
        <v>39</v>
      </c>
      <c r="D235" s="135">
        <v>825.0</v>
      </c>
      <c r="E235" s="136">
        <v>1175.0</v>
      </c>
      <c r="F235" s="136">
        <v>343.7</v>
      </c>
      <c r="G235" s="136">
        <v>0.0</v>
      </c>
      <c r="H235" s="136">
        <v>225.0</v>
      </c>
      <c r="I235" s="136">
        <v>950.0</v>
      </c>
      <c r="J235" s="136">
        <v>0.0</v>
      </c>
      <c r="K235" s="136">
        <v>0.0</v>
      </c>
      <c r="L235" s="136">
        <v>0.0</v>
      </c>
      <c r="M235" s="136">
        <v>0.0</v>
      </c>
      <c r="N235" s="136">
        <v>0.0</v>
      </c>
      <c r="O235" s="136">
        <v>0.0</v>
      </c>
      <c r="P235" s="136">
        <v>0.0</v>
      </c>
      <c r="Q235" s="136">
        <v>0.0</v>
      </c>
      <c r="R235" s="136">
        <v>0.0</v>
      </c>
      <c r="S235" s="137">
        <v>45108.0</v>
      </c>
      <c r="T235" s="137">
        <v>45988.0</v>
      </c>
    </row>
    <row r="236" ht="18.0" customHeight="1">
      <c r="A236" s="134" t="s">
        <v>233</v>
      </c>
      <c r="B236" s="134" t="s">
        <v>38</v>
      </c>
      <c r="C236" s="134" t="s">
        <v>47</v>
      </c>
      <c r="D236" s="135">
        <v>825.0</v>
      </c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7"/>
      <c r="T236" s="137"/>
    </row>
    <row r="237" ht="18.0" customHeight="1">
      <c r="A237" s="134" t="s">
        <v>234</v>
      </c>
      <c r="B237" s="134" t="s">
        <v>38</v>
      </c>
      <c r="C237" s="134" t="s">
        <v>39</v>
      </c>
      <c r="D237" s="135">
        <v>825.0</v>
      </c>
      <c r="E237" s="136">
        <v>1040.0</v>
      </c>
      <c r="F237" s="136">
        <v>-260.0</v>
      </c>
      <c r="G237" s="136">
        <v>0.0</v>
      </c>
      <c r="H237" s="136">
        <v>0.0</v>
      </c>
      <c r="I237" s="136">
        <v>1025.0</v>
      </c>
      <c r="J237" s="136">
        <v>0.0</v>
      </c>
      <c r="K237" s="136">
        <v>0.0</v>
      </c>
      <c r="L237" s="136">
        <v>0.0</v>
      </c>
      <c r="M237" s="136">
        <v>0.0</v>
      </c>
      <c r="N237" s="136">
        <v>0.0</v>
      </c>
      <c r="O237" s="136">
        <v>0.0</v>
      </c>
      <c r="P237" s="136">
        <v>0.0</v>
      </c>
      <c r="Q237" s="136">
        <v>15.0</v>
      </c>
      <c r="R237" s="136">
        <v>0.0</v>
      </c>
      <c r="S237" s="137">
        <v>45139.0</v>
      </c>
      <c r="T237" s="137"/>
    </row>
    <row r="238" ht="18.0" customHeight="1">
      <c r="A238" s="134" t="s">
        <v>235</v>
      </c>
      <c r="B238" s="134" t="s">
        <v>38</v>
      </c>
      <c r="C238" s="134" t="s">
        <v>47</v>
      </c>
      <c r="D238" s="135">
        <v>825.0</v>
      </c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7"/>
      <c r="T238" s="137"/>
    </row>
    <row r="239" ht="18.0" customHeight="1">
      <c r="A239" s="134" t="s">
        <v>236</v>
      </c>
      <c r="B239" s="134" t="s">
        <v>56</v>
      </c>
      <c r="C239" s="134" t="s">
        <v>39</v>
      </c>
      <c r="D239" s="135">
        <v>750.0</v>
      </c>
      <c r="E239" s="136">
        <v>998.0</v>
      </c>
      <c r="F239" s="136">
        <v>-2364.0</v>
      </c>
      <c r="G239" s="136">
        <v>0.0</v>
      </c>
      <c r="H239" s="136">
        <v>125.0</v>
      </c>
      <c r="I239" s="136">
        <v>186.0</v>
      </c>
      <c r="J239" s="136">
        <v>0.0</v>
      </c>
      <c r="K239" s="136">
        <v>0.0</v>
      </c>
      <c r="L239" s="136">
        <v>687.0</v>
      </c>
      <c r="M239" s="136">
        <v>0.0</v>
      </c>
      <c r="N239" s="136">
        <v>0.0</v>
      </c>
      <c r="O239" s="136">
        <v>0.0</v>
      </c>
      <c r="P239" s="136">
        <v>0.0</v>
      </c>
      <c r="Q239" s="136">
        <v>0.0</v>
      </c>
      <c r="R239" s="136">
        <v>0.0</v>
      </c>
      <c r="S239" s="137">
        <v>45237.0</v>
      </c>
      <c r="T239" s="137"/>
    </row>
    <row r="240" ht="18.0" customHeight="1">
      <c r="A240" s="134" t="s">
        <v>237</v>
      </c>
      <c r="B240" s="134" t="s">
        <v>38</v>
      </c>
      <c r="C240" s="134" t="s">
        <v>39</v>
      </c>
      <c r="D240" s="135">
        <v>825.0</v>
      </c>
      <c r="E240" s="136">
        <v>1250.0</v>
      </c>
      <c r="F240" s="136">
        <v>-615.8</v>
      </c>
      <c r="G240" s="136">
        <v>0.0</v>
      </c>
      <c r="H240" s="136">
        <v>225.0</v>
      </c>
      <c r="I240" s="136">
        <v>99.0</v>
      </c>
      <c r="J240" s="136">
        <v>0.0</v>
      </c>
      <c r="K240" s="136">
        <v>0.0</v>
      </c>
      <c r="L240" s="136">
        <v>926.0</v>
      </c>
      <c r="M240" s="136">
        <v>0.0</v>
      </c>
      <c r="N240" s="136">
        <v>0.0</v>
      </c>
      <c r="O240" s="136">
        <v>0.0</v>
      </c>
      <c r="P240" s="136">
        <v>0.0</v>
      </c>
      <c r="Q240" s="136">
        <v>0.0</v>
      </c>
      <c r="R240" s="136">
        <v>0.0</v>
      </c>
      <c r="S240" s="137">
        <v>45046.0</v>
      </c>
      <c r="T240" s="137">
        <v>46302.0</v>
      </c>
    </row>
    <row r="241" ht="18.0" customHeight="1">
      <c r="A241" s="134" t="s">
        <v>238</v>
      </c>
      <c r="B241" s="134" t="s">
        <v>38</v>
      </c>
      <c r="C241" s="134" t="s">
        <v>39</v>
      </c>
      <c r="D241" s="135">
        <v>825.0</v>
      </c>
      <c r="E241" s="136">
        <v>1250.0</v>
      </c>
      <c r="F241" s="136">
        <v>0.0</v>
      </c>
      <c r="G241" s="136">
        <v>0.0</v>
      </c>
      <c r="H241" s="136">
        <v>225.0</v>
      </c>
      <c r="I241" s="136">
        <v>275.0</v>
      </c>
      <c r="J241" s="136">
        <v>0.0</v>
      </c>
      <c r="K241" s="136">
        <v>0.0</v>
      </c>
      <c r="L241" s="136">
        <v>750.0</v>
      </c>
      <c r="M241" s="136">
        <v>0.0</v>
      </c>
      <c r="N241" s="136">
        <v>0.0</v>
      </c>
      <c r="O241" s="136">
        <v>0.0</v>
      </c>
      <c r="P241" s="136">
        <v>0.0</v>
      </c>
      <c r="Q241" s="136">
        <v>0.0</v>
      </c>
      <c r="R241" s="136">
        <v>0.0</v>
      </c>
      <c r="S241" s="137">
        <v>45139.0</v>
      </c>
      <c r="T241" s="137"/>
    </row>
    <row r="242" ht="18.0" customHeight="1">
      <c r="A242" s="134" t="s">
        <v>239</v>
      </c>
      <c r="B242" s="134" t="s">
        <v>38</v>
      </c>
      <c r="C242" s="134" t="s">
        <v>47</v>
      </c>
      <c r="D242" s="135">
        <v>825.0</v>
      </c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7"/>
      <c r="T242" s="137"/>
    </row>
    <row r="243" ht="18.0" customHeight="1">
      <c r="A243" s="134" t="s">
        <v>240</v>
      </c>
      <c r="B243" s="134" t="s">
        <v>56</v>
      </c>
      <c r="C243" s="134" t="s">
        <v>39</v>
      </c>
      <c r="D243" s="135">
        <v>750.0</v>
      </c>
      <c r="E243" s="136">
        <v>750.3</v>
      </c>
      <c r="F243" s="136">
        <v>-1.1</v>
      </c>
      <c r="G243" s="136">
        <v>0.0</v>
      </c>
      <c r="H243" s="136">
        <v>49.8</v>
      </c>
      <c r="I243" s="136">
        <v>700.5</v>
      </c>
      <c r="J243" s="136">
        <v>0.0</v>
      </c>
      <c r="K243" s="136">
        <v>0.0</v>
      </c>
      <c r="L243" s="136">
        <v>0.0</v>
      </c>
      <c r="M243" s="136">
        <v>0.0</v>
      </c>
      <c r="N243" s="136">
        <v>0.0</v>
      </c>
      <c r="O243" s="136">
        <v>0.0</v>
      </c>
      <c r="P243" s="136">
        <v>0.0</v>
      </c>
      <c r="Q243" s="136">
        <v>0.0</v>
      </c>
      <c r="R243" s="136">
        <v>0.0</v>
      </c>
      <c r="S243" s="137">
        <v>45231.0</v>
      </c>
      <c r="T243" s="137"/>
    </row>
    <row r="244" ht="18.0" customHeight="1">
      <c r="A244" s="134" t="s">
        <v>241</v>
      </c>
      <c r="B244" s="134" t="s">
        <v>38</v>
      </c>
      <c r="C244" s="134" t="s">
        <v>39</v>
      </c>
      <c r="D244" s="135">
        <v>825.0</v>
      </c>
      <c r="E244" s="136">
        <v>1275.0</v>
      </c>
      <c r="F244" s="136">
        <v>0.0</v>
      </c>
      <c r="G244" s="136">
        <v>0.0</v>
      </c>
      <c r="H244" s="136">
        <v>225.0</v>
      </c>
      <c r="I244" s="136">
        <v>1025.0</v>
      </c>
      <c r="J244" s="136">
        <v>0.0</v>
      </c>
      <c r="K244" s="136">
        <v>0.0</v>
      </c>
      <c r="L244" s="136">
        <v>0.0</v>
      </c>
      <c r="M244" s="136">
        <v>0.0</v>
      </c>
      <c r="N244" s="136">
        <v>0.0</v>
      </c>
      <c r="O244" s="136">
        <v>25.0</v>
      </c>
      <c r="P244" s="136">
        <v>0.0</v>
      </c>
      <c r="Q244" s="136">
        <v>0.0</v>
      </c>
      <c r="R244" s="136">
        <v>0.0</v>
      </c>
      <c r="S244" s="137">
        <v>45801.0</v>
      </c>
      <c r="T244" s="137">
        <v>46165.0</v>
      </c>
    </row>
    <row r="245" ht="18.0" customHeight="1">
      <c r="A245" s="134" t="s">
        <v>242</v>
      </c>
      <c r="B245" s="134" t="s">
        <v>38</v>
      </c>
      <c r="C245" s="134" t="s">
        <v>47</v>
      </c>
      <c r="D245" s="135">
        <v>825.0</v>
      </c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7"/>
      <c r="T245" s="137"/>
    </row>
    <row r="246" ht="18.0" customHeight="1">
      <c r="A246" s="134" t="s">
        <v>243</v>
      </c>
      <c r="B246" s="134" t="s">
        <v>56</v>
      </c>
      <c r="C246" s="134" t="s">
        <v>39</v>
      </c>
      <c r="D246" s="135">
        <v>750.0</v>
      </c>
      <c r="E246" s="136">
        <v>950.0</v>
      </c>
      <c r="F246" s="136">
        <v>-150.0</v>
      </c>
      <c r="G246" s="136">
        <v>0.0</v>
      </c>
      <c r="H246" s="136">
        <v>150.0</v>
      </c>
      <c r="I246" s="136">
        <v>800.0</v>
      </c>
      <c r="J246" s="136">
        <v>0.0</v>
      </c>
      <c r="K246" s="136">
        <v>0.0</v>
      </c>
      <c r="L246" s="136">
        <v>0.0</v>
      </c>
      <c r="M246" s="136">
        <v>0.0</v>
      </c>
      <c r="N246" s="136">
        <v>0.0</v>
      </c>
      <c r="O246" s="136">
        <v>0.0</v>
      </c>
      <c r="P246" s="136">
        <v>0.0</v>
      </c>
      <c r="Q246" s="136">
        <v>0.0</v>
      </c>
      <c r="R246" s="136">
        <v>0.0</v>
      </c>
      <c r="S246" s="137">
        <v>45139.0</v>
      </c>
      <c r="T246" s="137">
        <v>46387.0</v>
      </c>
    </row>
    <row r="247" ht="18.0" customHeight="1">
      <c r="A247" s="138" t="s">
        <v>244</v>
      </c>
      <c r="B247" s="138"/>
      <c r="C247" s="138" t="s">
        <v>358</v>
      </c>
      <c r="D247" s="139">
        <v>40350.0</v>
      </c>
      <c r="E247" s="140">
        <v>49759.3</v>
      </c>
      <c r="F247" s="140">
        <v>189.52</v>
      </c>
      <c r="G247" s="140">
        <v>0.0</v>
      </c>
      <c r="H247" s="140">
        <v>8420.8</v>
      </c>
      <c r="I247" s="140">
        <v>32081.5</v>
      </c>
      <c r="J247" s="140">
        <v>0.0</v>
      </c>
      <c r="K247" s="140">
        <v>0.0</v>
      </c>
      <c r="L247" s="140">
        <v>9167.0</v>
      </c>
      <c r="M247" s="140">
        <v>0.0</v>
      </c>
      <c r="N247" s="140">
        <v>0.0</v>
      </c>
      <c r="O247" s="140">
        <v>50.0</v>
      </c>
      <c r="P247" s="140">
        <v>25.0</v>
      </c>
      <c r="Q247" s="140">
        <v>15.0</v>
      </c>
      <c r="R247" s="140">
        <v>0.0</v>
      </c>
      <c r="S247" s="141"/>
      <c r="T247" s="141"/>
    </row>
    <row r="248" ht="18.0" customHeight="1">
      <c r="A248" s="133" t="s">
        <v>290</v>
      </c>
    </row>
    <row r="249" ht="18.0" customHeight="1">
      <c r="A249" s="134" t="s">
        <v>46</v>
      </c>
      <c r="B249" s="134" t="s">
        <v>56</v>
      </c>
      <c r="C249" s="134" t="s">
        <v>39</v>
      </c>
      <c r="D249" s="135">
        <v>675.0</v>
      </c>
      <c r="E249" s="136">
        <v>600.0</v>
      </c>
      <c r="F249" s="136">
        <v>-1268.33</v>
      </c>
      <c r="G249" s="136">
        <v>0.0</v>
      </c>
      <c r="H249" s="136">
        <v>0.0</v>
      </c>
      <c r="I249" s="136">
        <v>115.0</v>
      </c>
      <c r="J249" s="136">
        <v>485.0</v>
      </c>
      <c r="K249" s="136">
        <v>0.0</v>
      </c>
      <c r="L249" s="136">
        <v>0.0</v>
      </c>
      <c r="M249" s="136">
        <v>0.0</v>
      </c>
      <c r="N249" s="136">
        <v>0.0</v>
      </c>
      <c r="O249" s="136">
        <v>0.0</v>
      </c>
      <c r="P249" s="136">
        <v>0.0</v>
      </c>
      <c r="Q249" s="136">
        <v>0.0</v>
      </c>
      <c r="R249" s="136">
        <v>0.0</v>
      </c>
      <c r="S249" s="137">
        <v>45139.0</v>
      </c>
      <c r="T249" s="137"/>
    </row>
    <row r="250" ht="18.0" customHeight="1">
      <c r="A250" s="134" t="s">
        <v>48</v>
      </c>
      <c r="B250" s="134" t="s">
        <v>56</v>
      </c>
      <c r="C250" s="134" t="s">
        <v>39</v>
      </c>
      <c r="D250" s="135">
        <v>675.0</v>
      </c>
      <c r="E250" s="136">
        <v>675.0</v>
      </c>
      <c r="F250" s="136">
        <v>-675.0</v>
      </c>
      <c r="G250" s="136">
        <v>0.0</v>
      </c>
      <c r="H250" s="136">
        <v>0.0</v>
      </c>
      <c r="I250" s="136">
        <v>675.0</v>
      </c>
      <c r="J250" s="136">
        <v>0.0</v>
      </c>
      <c r="K250" s="136">
        <v>0.0</v>
      </c>
      <c r="L250" s="136">
        <v>0.0</v>
      </c>
      <c r="M250" s="136">
        <v>0.0</v>
      </c>
      <c r="N250" s="136">
        <v>0.0</v>
      </c>
      <c r="O250" s="136">
        <v>0.0</v>
      </c>
      <c r="P250" s="136">
        <v>0.0</v>
      </c>
      <c r="Q250" s="136">
        <v>0.0</v>
      </c>
      <c r="R250" s="136">
        <v>0.0</v>
      </c>
      <c r="S250" s="137">
        <v>43896.0</v>
      </c>
      <c r="T250" s="137">
        <v>46630.0</v>
      </c>
    </row>
    <row r="251" ht="18.0" customHeight="1">
      <c r="A251" s="134" t="s">
        <v>65</v>
      </c>
      <c r="B251" s="134" t="s">
        <v>56</v>
      </c>
      <c r="C251" s="134" t="s">
        <v>39</v>
      </c>
      <c r="D251" s="135">
        <v>675.0</v>
      </c>
      <c r="E251" s="136">
        <v>700.0</v>
      </c>
      <c r="F251" s="136">
        <v>0.0</v>
      </c>
      <c r="G251" s="136">
        <v>0.0</v>
      </c>
      <c r="H251" s="136">
        <v>0.0</v>
      </c>
      <c r="I251" s="136">
        <v>700.0</v>
      </c>
      <c r="J251" s="136">
        <v>0.0</v>
      </c>
      <c r="K251" s="136">
        <v>0.0</v>
      </c>
      <c r="L251" s="136">
        <v>0.0</v>
      </c>
      <c r="M251" s="136">
        <v>0.0</v>
      </c>
      <c r="N251" s="136">
        <v>0.0</v>
      </c>
      <c r="O251" s="136">
        <v>0.0</v>
      </c>
      <c r="P251" s="136">
        <v>0.0</v>
      </c>
      <c r="Q251" s="136">
        <v>0.0</v>
      </c>
      <c r="R251" s="136">
        <v>0.0</v>
      </c>
      <c r="S251" s="137">
        <v>44774.0</v>
      </c>
      <c r="T251" s="137">
        <v>46233.0</v>
      </c>
    </row>
    <row r="252" ht="18.0" customHeight="1">
      <c r="A252" s="134" t="s">
        <v>66</v>
      </c>
      <c r="B252" s="134" t="s">
        <v>56</v>
      </c>
      <c r="C252" s="134" t="s">
        <v>39</v>
      </c>
      <c r="D252" s="135">
        <v>675.0</v>
      </c>
      <c r="E252" s="136">
        <v>775.0</v>
      </c>
      <c r="F252" s="136">
        <v>0.0</v>
      </c>
      <c r="G252" s="136">
        <v>0.0</v>
      </c>
      <c r="H252" s="136">
        <v>0.0</v>
      </c>
      <c r="I252" s="136">
        <v>775.0</v>
      </c>
      <c r="J252" s="136">
        <v>0.0</v>
      </c>
      <c r="K252" s="136">
        <v>0.0</v>
      </c>
      <c r="L252" s="136">
        <v>0.0</v>
      </c>
      <c r="M252" s="136">
        <v>0.0</v>
      </c>
      <c r="N252" s="136">
        <v>0.0</v>
      </c>
      <c r="O252" s="136">
        <v>0.0</v>
      </c>
      <c r="P252" s="136">
        <v>0.0</v>
      </c>
      <c r="Q252" s="136">
        <v>0.0</v>
      </c>
      <c r="R252" s="136">
        <v>0.0</v>
      </c>
      <c r="S252" s="137">
        <v>45401.0</v>
      </c>
      <c r="T252" s="137">
        <v>46477.0</v>
      </c>
    </row>
    <row r="253" ht="18.0" customHeight="1">
      <c r="A253" s="134" t="s">
        <v>67</v>
      </c>
      <c r="B253" s="134" t="s">
        <v>56</v>
      </c>
      <c r="C253" s="134" t="s">
        <v>39</v>
      </c>
      <c r="D253" s="135">
        <v>675.0</v>
      </c>
      <c r="E253" s="136">
        <v>750.0</v>
      </c>
      <c r="F253" s="136">
        <v>220.44</v>
      </c>
      <c r="G253" s="136">
        <v>0.0</v>
      </c>
      <c r="H253" s="136">
        <v>0.0</v>
      </c>
      <c r="I253" s="136">
        <v>750.0</v>
      </c>
      <c r="J253" s="136">
        <v>0.0</v>
      </c>
      <c r="K253" s="136">
        <v>0.0</v>
      </c>
      <c r="L253" s="136">
        <v>0.0</v>
      </c>
      <c r="M253" s="136">
        <v>0.0</v>
      </c>
      <c r="N253" s="136">
        <v>0.0</v>
      </c>
      <c r="O253" s="136">
        <v>0.0</v>
      </c>
      <c r="P253" s="136">
        <v>0.0</v>
      </c>
      <c r="Q253" s="136">
        <v>0.0</v>
      </c>
      <c r="R253" s="136">
        <v>0.0</v>
      </c>
      <c r="S253" s="137">
        <v>44603.0</v>
      </c>
      <c r="T253" s="137">
        <v>46082.0</v>
      </c>
    </row>
    <row r="254" ht="18.0" customHeight="1">
      <c r="A254" s="134" t="s">
        <v>68</v>
      </c>
      <c r="B254" s="134" t="s">
        <v>56</v>
      </c>
      <c r="C254" s="134" t="s">
        <v>39</v>
      </c>
      <c r="D254" s="135">
        <v>675.0</v>
      </c>
      <c r="E254" s="136">
        <v>725.0</v>
      </c>
      <c r="F254" s="136">
        <v>0.0</v>
      </c>
      <c r="G254" s="136">
        <v>0.0</v>
      </c>
      <c r="H254" s="136">
        <v>0.0</v>
      </c>
      <c r="I254" s="136">
        <v>725.0</v>
      </c>
      <c r="J254" s="136">
        <v>0.0</v>
      </c>
      <c r="K254" s="136">
        <v>0.0</v>
      </c>
      <c r="L254" s="136">
        <v>0.0</v>
      </c>
      <c r="M254" s="136">
        <v>0.0</v>
      </c>
      <c r="N254" s="136">
        <v>0.0</v>
      </c>
      <c r="O254" s="136">
        <v>0.0</v>
      </c>
      <c r="P254" s="136">
        <v>0.0</v>
      </c>
      <c r="Q254" s="136">
        <v>0.0</v>
      </c>
      <c r="R254" s="136">
        <v>0.0</v>
      </c>
      <c r="S254" s="137">
        <v>43252.0</v>
      </c>
      <c r="T254" s="137">
        <v>46174.0</v>
      </c>
    </row>
    <row r="255" ht="18.0" customHeight="1">
      <c r="A255" s="134" t="s">
        <v>69</v>
      </c>
      <c r="B255" s="134" t="s">
        <v>56</v>
      </c>
      <c r="C255" s="134" t="s">
        <v>39</v>
      </c>
      <c r="D255" s="135">
        <v>675.0</v>
      </c>
      <c r="E255" s="136">
        <v>825.0</v>
      </c>
      <c r="F255" s="136">
        <v>0.0</v>
      </c>
      <c r="G255" s="136">
        <v>0.0</v>
      </c>
      <c r="H255" s="136">
        <v>0.0</v>
      </c>
      <c r="I255" s="136">
        <v>825.0</v>
      </c>
      <c r="J255" s="136">
        <v>0.0</v>
      </c>
      <c r="K255" s="136">
        <v>0.0</v>
      </c>
      <c r="L255" s="136">
        <v>0.0</v>
      </c>
      <c r="M255" s="136">
        <v>0.0</v>
      </c>
      <c r="N255" s="136">
        <v>0.0</v>
      </c>
      <c r="O255" s="136">
        <v>0.0</v>
      </c>
      <c r="P255" s="136">
        <v>0.0</v>
      </c>
      <c r="Q255" s="136">
        <v>0.0</v>
      </c>
      <c r="R255" s="136">
        <v>0.0</v>
      </c>
      <c r="S255" s="137">
        <v>45880.0</v>
      </c>
      <c r="T255" s="137">
        <v>46244.0</v>
      </c>
    </row>
    <row r="256" ht="18.0" customHeight="1">
      <c r="A256" s="134" t="s">
        <v>70</v>
      </c>
      <c r="B256" s="134" t="s">
        <v>56</v>
      </c>
      <c r="C256" s="134" t="s">
        <v>39</v>
      </c>
      <c r="D256" s="135">
        <v>675.0</v>
      </c>
      <c r="E256" s="136">
        <v>775.0</v>
      </c>
      <c r="F256" s="136">
        <v>0.0</v>
      </c>
      <c r="G256" s="136">
        <v>0.0</v>
      </c>
      <c r="H256" s="136">
        <v>0.0</v>
      </c>
      <c r="I256" s="136">
        <v>750.0</v>
      </c>
      <c r="J256" s="136">
        <v>0.0</v>
      </c>
      <c r="K256" s="136">
        <v>0.0</v>
      </c>
      <c r="L256" s="136">
        <v>0.0</v>
      </c>
      <c r="M256" s="136">
        <v>0.0</v>
      </c>
      <c r="N256" s="136">
        <v>0.0</v>
      </c>
      <c r="O256" s="136">
        <v>25.0</v>
      </c>
      <c r="P256" s="136">
        <v>0.0</v>
      </c>
      <c r="Q256" s="136">
        <v>0.0</v>
      </c>
      <c r="R256" s="136">
        <v>0.0</v>
      </c>
      <c r="S256" s="137">
        <v>45730.0</v>
      </c>
      <c r="T256" s="137">
        <v>46477.0</v>
      </c>
    </row>
    <row r="257" ht="18.0" customHeight="1">
      <c r="A257" s="134" t="s">
        <v>71</v>
      </c>
      <c r="B257" s="134" t="s">
        <v>56</v>
      </c>
      <c r="C257" s="134" t="s">
        <v>39</v>
      </c>
      <c r="D257" s="135">
        <v>675.0</v>
      </c>
      <c r="E257" s="136">
        <v>725.0</v>
      </c>
      <c r="F257" s="136">
        <v>-57.07</v>
      </c>
      <c r="G257" s="136">
        <v>0.0</v>
      </c>
      <c r="H257" s="136">
        <v>0.0</v>
      </c>
      <c r="I257" s="136">
        <v>725.0</v>
      </c>
      <c r="J257" s="136">
        <v>0.0</v>
      </c>
      <c r="K257" s="136">
        <v>0.0</v>
      </c>
      <c r="L257" s="136">
        <v>0.0</v>
      </c>
      <c r="M257" s="136">
        <v>0.0</v>
      </c>
      <c r="N257" s="136">
        <v>0.0</v>
      </c>
      <c r="O257" s="136">
        <v>0.0</v>
      </c>
      <c r="P257" s="136">
        <v>0.0</v>
      </c>
      <c r="Q257" s="136">
        <v>0.0</v>
      </c>
      <c r="R257" s="136">
        <v>0.0</v>
      </c>
      <c r="S257" s="137">
        <v>44742.0</v>
      </c>
      <c r="T257" s="137">
        <v>46203.0</v>
      </c>
    </row>
    <row r="258" ht="18.0" customHeight="1">
      <c r="A258" s="134" t="s">
        <v>72</v>
      </c>
      <c r="B258" s="134" t="s">
        <v>56</v>
      </c>
      <c r="C258" s="134" t="s">
        <v>39</v>
      </c>
      <c r="D258" s="135">
        <v>675.0</v>
      </c>
      <c r="E258" s="136">
        <v>750.0</v>
      </c>
      <c r="F258" s="136">
        <v>0.0</v>
      </c>
      <c r="G258" s="136">
        <v>0.0</v>
      </c>
      <c r="H258" s="136">
        <v>0.0</v>
      </c>
      <c r="I258" s="136">
        <v>750.0</v>
      </c>
      <c r="J258" s="136">
        <v>0.0</v>
      </c>
      <c r="K258" s="136">
        <v>0.0</v>
      </c>
      <c r="L258" s="136">
        <v>0.0</v>
      </c>
      <c r="M258" s="136">
        <v>0.0</v>
      </c>
      <c r="N258" s="136">
        <v>0.0</v>
      </c>
      <c r="O258" s="136">
        <v>0.0</v>
      </c>
      <c r="P258" s="136">
        <v>0.0</v>
      </c>
      <c r="Q258" s="136">
        <v>0.0</v>
      </c>
      <c r="R258" s="136">
        <v>0.0</v>
      </c>
      <c r="S258" s="137">
        <v>44635.0</v>
      </c>
      <c r="T258" s="137">
        <v>46113.0</v>
      </c>
    </row>
    <row r="259" ht="18.0" customHeight="1">
      <c r="A259" s="134" t="s">
        <v>73</v>
      </c>
      <c r="B259" s="134" t="s">
        <v>56</v>
      </c>
      <c r="C259" s="134" t="s">
        <v>39</v>
      </c>
      <c r="D259" s="135">
        <v>675.0</v>
      </c>
      <c r="E259" s="136">
        <v>800.0</v>
      </c>
      <c r="F259" s="136">
        <v>-800.0</v>
      </c>
      <c r="G259" s="136">
        <v>0.0</v>
      </c>
      <c r="H259" s="136">
        <v>0.0</v>
      </c>
      <c r="I259" s="136">
        <v>800.0</v>
      </c>
      <c r="J259" s="136">
        <v>0.0</v>
      </c>
      <c r="K259" s="136">
        <v>0.0</v>
      </c>
      <c r="L259" s="136">
        <v>0.0</v>
      </c>
      <c r="M259" s="136">
        <v>0.0</v>
      </c>
      <c r="N259" s="136">
        <v>0.0</v>
      </c>
      <c r="O259" s="136">
        <v>0.0</v>
      </c>
      <c r="P259" s="136">
        <v>0.0</v>
      </c>
      <c r="Q259" s="136">
        <v>0.0</v>
      </c>
      <c r="R259" s="136">
        <v>0.0</v>
      </c>
      <c r="S259" s="137">
        <v>45778.0</v>
      </c>
      <c r="T259" s="137">
        <v>46142.0</v>
      </c>
    </row>
    <row r="260" ht="18.0" customHeight="1">
      <c r="A260" s="134" t="s">
        <v>74</v>
      </c>
      <c r="B260" s="134" t="s">
        <v>56</v>
      </c>
      <c r="C260" s="134" t="s">
        <v>39</v>
      </c>
      <c r="D260" s="135">
        <v>675.0</v>
      </c>
      <c r="E260" s="136">
        <v>825.0</v>
      </c>
      <c r="F260" s="136">
        <v>88.94</v>
      </c>
      <c r="G260" s="136">
        <v>0.0</v>
      </c>
      <c r="H260" s="136">
        <v>0.0</v>
      </c>
      <c r="I260" s="136">
        <v>800.0</v>
      </c>
      <c r="J260" s="136">
        <v>0.0</v>
      </c>
      <c r="K260" s="136">
        <v>0.0</v>
      </c>
      <c r="L260" s="136">
        <v>0.0</v>
      </c>
      <c r="M260" s="136">
        <v>0.0</v>
      </c>
      <c r="N260" s="136">
        <v>0.0</v>
      </c>
      <c r="O260" s="136">
        <v>25.0</v>
      </c>
      <c r="P260" s="136">
        <v>0.0</v>
      </c>
      <c r="Q260" s="136">
        <v>0.0</v>
      </c>
      <c r="R260" s="136">
        <v>0.0</v>
      </c>
      <c r="S260" s="137">
        <v>45425.0</v>
      </c>
      <c r="T260" s="137">
        <v>46156.0</v>
      </c>
    </row>
    <row r="261" ht="18.0" customHeight="1">
      <c r="A261" s="134" t="s">
        <v>75</v>
      </c>
      <c r="B261" s="134" t="s">
        <v>56</v>
      </c>
      <c r="C261" s="134" t="s">
        <v>39</v>
      </c>
      <c r="D261" s="135">
        <v>675.0</v>
      </c>
      <c r="E261" s="136">
        <v>725.0</v>
      </c>
      <c r="F261" s="136">
        <v>0.0</v>
      </c>
      <c r="G261" s="136">
        <v>0.0</v>
      </c>
      <c r="H261" s="136">
        <v>0.0</v>
      </c>
      <c r="I261" s="136">
        <v>725.0</v>
      </c>
      <c r="J261" s="136">
        <v>0.0</v>
      </c>
      <c r="K261" s="136">
        <v>0.0</v>
      </c>
      <c r="L261" s="136">
        <v>0.0</v>
      </c>
      <c r="M261" s="136">
        <v>0.0</v>
      </c>
      <c r="N261" s="136">
        <v>0.0</v>
      </c>
      <c r="O261" s="136">
        <v>0.0</v>
      </c>
      <c r="P261" s="136">
        <v>0.0</v>
      </c>
      <c r="Q261" s="136">
        <v>0.0</v>
      </c>
      <c r="R261" s="136">
        <v>0.0</v>
      </c>
      <c r="S261" s="137">
        <v>45708.0</v>
      </c>
      <c r="T261" s="137">
        <v>46437.0</v>
      </c>
    </row>
    <row r="262" ht="18.0" customHeight="1">
      <c r="A262" s="134" t="s">
        <v>76</v>
      </c>
      <c r="B262" s="134" t="s">
        <v>56</v>
      </c>
      <c r="C262" s="134" t="s">
        <v>178</v>
      </c>
      <c r="D262" s="135">
        <v>675.0</v>
      </c>
      <c r="E262" s="136">
        <v>775.0</v>
      </c>
      <c r="F262" s="136">
        <v>2371.14</v>
      </c>
      <c r="G262" s="136">
        <v>0.0</v>
      </c>
      <c r="H262" s="136">
        <v>0.0</v>
      </c>
      <c r="I262" s="136">
        <v>775.0</v>
      </c>
      <c r="J262" s="136">
        <v>0.0</v>
      </c>
      <c r="K262" s="136">
        <v>0.0</v>
      </c>
      <c r="L262" s="136">
        <v>0.0</v>
      </c>
      <c r="M262" s="136">
        <v>0.0</v>
      </c>
      <c r="N262" s="136">
        <v>0.0</v>
      </c>
      <c r="O262" s="136">
        <v>0.0</v>
      </c>
      <c r="P262" s="136">
        <v>0.0</v>
      </c>
      <c r="Q262" s="136">
        <v>0.0</v>
      </c>
      <c r="R262" s="136">
        <v>0.0</v>
      </c>
      <c r="S262" s="137">
        <v>45874.0</v>
      </c>
      <c r="T262" s="137">
        <v>46265.0</v>
      </c>
    </row>
    <row r="263" ht="18.0" customHeight="1">
      <c r="A263" s="134" t="s">
        <v>77</v>
      </c>
      <c r="B263" s="134" t="s">
        <v>56</v>
      </c>
      <c r="C263" s="134" t="s">
        <v>39</v>
      </c>
      <c r="D263" s="135">
        <v>675.0</v>
      </c>
      <c r="E263" s="136">
        <v>700.0</v>
      </c>
      <c r="F263" s="136">
        <v>620.08</v>
      </c>
      <c r="G263" s="136">
        <v>0.0</v>
      </c>
      <c r="H263" s="136">
        <v>0.0</v>
      </c>
      <c r="I263" s="136">
        <v>700.0</v>
      </c>
      <c r="J263" s="136">
        <v>0.0</v>
      </c>
      <c r="K263" s="136">
        <v>0.0</v>
      </c>
      <c r="L263" s="136">
        <v>0.0</v>
      </c>
      <c r="M263" s="136">
        <v>0.0</v>
      </c>
      <c r="N263" s="136">
        <v>0.0</v>
      </c>
      <c r="O263" s="136">
        <v>0.0</v>
      </c>
      <c r="P263" s="136">
        <v>0.0</v>
      </c>
      <c r="Q263" s="136">
        <v>0.0</v>
      </c>
      <c r="R263" s="136">
        <v>0.0</v>
      </c>
      <c r="S263" s="137">
        <v>44712.0</v>
      </c>
      <c r="T263" s="137">
        <v>46356.0</v>
      </c>
    </row>
    <row r="264" ht="18.0" customHeight="1">
      <c r="A264" s="134" t="s">
        <v>78</v>
      </c>
      <c r="B264" s="134" t="s">
        <v>56</v>
      </c>
      <c r="C264" s="134" t="s">
        <v>39</v>
      </c>
      <c r="D264" s="135">
        <v>675.0</v>
      </c>
      <c r="E264" s="136">
        <v>675.0</v>
      </c>
      <c r="F264" s="136">
        <v>0.0</v>
      </c>
      <c r="G264" s="136">
        <v>0.0</v>
      </c>
      <c r="H264" s="136">
        <v>0.0</v>
      </c>
      <c r="I264" s="136">
        <v>675.0</v>
      </c>
      <c r="J264" s="136">
        <v>0.0</v>
      </c>
      <c r="K264" s="136">
        <v>0.0</v>
      </c>
      <c r="L264" s="136">
        <v>0.0</v>
      </c>
      <c r="M264" s="136">
        <v>0.0</v>
      </c>
      <c r="N264" s="136">
        <v>0.0</v>
      </c>
      <c r="O264" s="136">
        <v>0.0</v>
      </c>
      <c r="P264" s="136">
        <v>0.0</v>
      </c>
      <c r="Q264" s="136">
        <v>0.0</v>
      </c>
      <c r="R264" s="136">
        <v>0.0</v>
      </c>
      <c r="S264" s="137">
        <v>44593.0</v>
      </c>
      <c r="T264" s="137">
        <v>46447.0</v>
      </c>
    </row>
    <row r="265" ht="18.0" customHeight="1">
      <c r="A265" s="134" t="s">
        <v>79</v>
      </c>
      <c r="B265" s="134" t="s">
        <v>56</v>
      </c>
      <c r="C265" s="134" t="s">
        <v>39</v>
      </c>
      <c r="D265" s="135">
        <v>675.0</v>
      </c>
      <c r="E265" s="136">
        <v>650.0</v>
      </c>
      <c r="F265" s="136">
        <v>-36.83</v>
      </c>
      <c r="G265" s="136">
        <v>0.0</v>
      </c>
      <c r="H265" s="136">
        <v>0.0</v>
      </c>
      <c r="I265" s="136">
        <v>650.0</v>
      </c>
      <c r="J265" s="136">
        <v>0.0</v>
      </c>
      <c r="K265" s="136">
        <v>0.0</v>
      </c>
      <c r="L265" s="136">
        <v>0.0</v>
      </c>
      <c r="M265" s="136">
        <v>0.0</v>
      </c>
      <c r="N265" s="136">
        <v>0.0</v>
      </c>
      <c r="O265" s="136">
        <v>0.0</v>
      </c>
      <c r="P265" s="136">
        <v>0.0</v>
      </c>
      <c r="Q265" s="136">
        <v>0.0</v>
      </c>
      <c r="R265" s="136">
        <v>0.0</v>
      </c>
      <c r="S265" s="137">
        <v>44681.0</v>
      </c>
      <c r="T265" s="137">
        <v>46142.0</v>
      </c>
    </row>
    <row r="266" ht="18.0" customHeight="1">
      <c r="A266" s="134" t="s">
        <v>80</v>
      </c>
      <c r="B266" s="134" t="s">
        <v>56</v>
      </c>
      <c r="C266" s="134" t="s">
        <v>39</v>
      </c>
      <c r="D266" s="135">
        <v>675.0</v>
      </c>
      <c r="E266" s="136">
        <v>750.0</v>
      </c>
      <c r="F266" s="136">
        <v>238.99</v>
      </c>
      <c r="G266" s="136">
        <v>0.0</v>
      </c>
      <c r="H266" s="136">
        <v>0.0</v>
      </c>
      <c r="I266" s="136">
        <v>750.0</v>
      </c>
      <c r="J266" s="136">
        <v>0.0</v>
      </c>
      <c r="K266" s="136">
        <v>0.0</v>
      </c>
      <c r="L266" s="136">
        <v>0.0</v>
      </c>
      <c r="M266" s="136">
        <v>0.0</v>
      </c>
      <c r="N266" s="136">
        <v>0.0</v>
      </c>
      <c r="O266" s="136">
        <v>0.0</v>
      </c>
      <c r="P266" s="136">
        <v>0.0</v>
      </c>
      <c r="Q266" s="136">
        <v>0.0</v>
      </c>
      <c r="R266" s="136">
        <v>0.0</v>
      </c>
      <c r="S266" s="137">
        <v>45015.0</v>
      </c>
      <c r="T266" s="137">
        <v>46507.0</v>
      </c>
    </row>
    <row r="267" ht="18.0" customHeight="1">
      <c r="A267" s="134" t="s">
        <v>81</v>
      </c>
      <c r="B267" s="134" t="s">
        <v>56</v>
      </c>
      <c r="C267" s="134" t="s">
        <v>39</v>
      </c>
      <c r="D267" s="135">
        <v>675.0</v>
      </c>
      <c r="E267" s="136">
        <v>750.0</v>
      </c>
      <c r="F267" s="136">
        <v>-782.09</v>
      </c>
      <c r="G267" s="136">
        <v>0.0</v>
      </c>
      <c r="H267" s="136">
        <v>0.0</v>
      </c>
      <c r="I267" s="136">
        <v>750.0</v>
      </c>
      <c r="J267" s="136">
        <v>0.0</v>
      </c>
      <c r="K267" s="136">
        <v>0.0</v>
      </c>
      <c r="L267" s="136">
        <v>0.0</v>
      </c>
      <c r="M267" s="136">
        <v>0.0</v>
      </c>
      <c r="N267" s="136">
        <v>0.0</v>
      </c>
      <c r="O267" s="136">
        <v>0.0</v>
      </c>
      <c r="P267" s="136">
        <v>0.0</v>
      </c>
      <c r="Q267" s="136">
        <v>0.0</v>
      </c>
      <c r="R267" s="136">
        <v>0.0</v>
      </c>
      <c r="S267" s="137">
        <v>45674.0</v>
      </c>
      <c r="T267" s="137">
        <v>46403.0</v>
      </c>
    </row>
    <row r="268" ht="18.0" customHeight="1">
      <c r="A268" s="134" t="s">
        <v>82</v>
      </c>
      <c r="B268" s="134" t="s">
        <v>56</v>
      </c>
      <c r="C268" s="134" t="s">
        <v>39</v>
      </c>
      <c r="D268" s="135">
        <v>675.0</v>
      </c>
      <c r="E268" s="136">
        <v>700.0</v>
      </c>
      <c r="F268" s="136">
        <v>96.88</v>
      </c>
      <c r="G268" s="136">
        <v>0.0</v>
      </c>
      <c r="H268" s="136">
        <v>0.0</v>
      </c>
      <c r="I268" s="136">
        <v>0.0</v>
      </c>
      <c r="J268" s="136">
        <v>700.0</v>
      </c>
      <c r="K268" s="136">
        <v>0.0</v>
      </c>
      <c r="L268" s="136">
        <v>0.0</v>
      </c>
      <c r="M268" s="136">
        <v>0.0</v>
      </c>
      <c r="N268" s="136">
        <v>0.0</v>
      </c>
      <c r="O268" s="136">
        <v>0.0</v>
      </c>
      <c r="P268" s="136">
        <v>0.0</v>
      </c>
      <c r="Q268" s="136">
        <v>0.0</v>
      </c>
      <c r="R268" s="136">
        <v>0.0</v>
      </c>
      <c r="S268" s="137">
        <v>44835.0</v>
      </c>
      <c r="T268" s="137">
        <v>46418.0</v>
      </c>
    </row>
    <row r="269" ht="18.0" customHeight="1">
      <c r="A269" s="134" t="s">
        <v>83</v>
      </c>
      <c r="B269" s="134" t="s">
        <v>56</v>
      </c>
      <c r="C269" s="134" t="s">
        <v>39</v>
      </c>
      <c r="D269" s="135">
        <v>675.0</v>
      </c>
      <c r="E269" s="136">
        <v>675.0</v>
      </c>
      <c r="F269" s="136">
        <v>-746.01</v>
      </c>
      <c r="G269" s="136">
        <v>0.0</v>
      </c>
      <c r="H269" s="136">
        <v>0.0</v>
      </c>
      <c r="I269" s="136">
        <v>675.0</v>
      </c>
      <c r="J269" s="136">
        <v>0.0</v>
      </c>
      <c r="K269" s="136">
        <v>0.0</v>
      </c>
      <c r="L269" s="136">
        <v>0.0</v>
      </c>
      <c r="M269" s="136">
        <v>0.0</v>
      </c>
      <c r="N269" s="136">
        <v>0.0</v>
      </c>
      <c r="O269" s="136">
        <v>0.0</v>
      </c>
      <c r="P269" s="136">
        <v>0.0</v>
      </c>
      <c r="Q269" s="136">
        <v>0.0</v>
      </c>
      <c r="R269" s="136">
        <v>0.0</v>
      </c>
      <c r="S269" s="137">
        <v>44986.0</v>
      </c>
      <c r="T269" s="137">
        <v>46203.0</v>
      </c>
    </row>
    <row r="270" ht="18.0" customHeight="1">
      <c r="A270" s="134" t="s">
        <v>84</v>
      </c>
      <c r="B270" s="134" t="s">
        <v>56</v>
      </c>
      <c r="C270" s="134" t="s">
        <v>39</v>
      </c>
      <c r="D270" s="135">
        <v>675.0</v>
      </c>
      <c r="E270" s="136">
        <v>725.0</v>
      </c>
      <c r="F270" s="136">
        <v>0.0</v>
      </c>
      <c r="G270" s="136">
        <v>0.0</v>
      </c>
      <c r="H270" s="136">
        <v>0.0</v>
      </c>
      <c r="I270" s="136">
        <v>725.0</v>
      </c>
      <c r="J270" s="136">
        <v>0.0</v>
      </c>
      <c r="K270" s="136">
        <v>0.0</v>
      </c>
      <c r="L270" s="136">
        <v>0.0</v>
      </c>
      <c r="M270" s="136">
        <v>0.0</v>
      </c>
      <c r="N270" s="136">
        <v>0.0</v>
      </c>
      <c r="O270" s="136">
        <v>0.0</v>
      </c>
      <c r="P270" s="136">
        <v>0.0</v>
      </c>
      <c r="Q270" s="136">
        <v>0.0</v>
      </c>
      <c r="R270" s="136">
        <v>0.0</v>
      </c>
      <c r="S270" s="137">
        <v>44708.0</v>
      </c>
      <c r="T270" s="137">
        <v>46173.0</v>
      </c>
    </row>
    <row r="271" ht="18.0" customHeight="1">
      <c r="A271" s="134" t="s">
        <v>85</v>
      </c>
      <c r="B271" s="134" t="s">
        <v>56</v>
      </c>
      <c r="C271" s="134" t="s">
        <v>39</v>
      </c>
      <c r="D271" s="135">
        <v>675.0</v>
      </c>
      <c r="E271" s="136">
        <v>750.0</v>
      </c>
      <c r="F271" s="136">
        <v>904.5</v>
      </c>
      <c r="G271" s="136">
        <v>0.0</v>
      </c>
      <c r="H271" s="136">
        <v>0.0</v>
      </c>
      <c r="I271" s="136">
        <v>750.0</v>
      </c>
      <c r="J271" s="136">
        <v>0.0</v>
      </c>
      <c r="K271" s="136">
        <v>0.0</v>
      </c>
      <c r="L271" s="136">
        <v>0.0</v>
      </c>
      <c r="M271" s="136">
        <v>0.0</v>
      </c>
      <c r="N271" s="136">
        <v>0.0</v>
      </c>
      <c r="O271" s="136">
        <v>0.0</v>
      </c>
      <c r="P271" s="136">
        <v>0.0</v>
      </c>
      <c r="Q271" s="136">
        <v>0.0</v>
      </c>
      <c r="R271" s="136">
        <v>0.0</v>
      </c>
      <c r="S271" s="137">
        <v>45299.0</v>
      </c>
      <c r="T271" s="137">
        <v>46394.0</v>
      </c>
    </row>
    <row r="272" ht="18.0" customHeight="1">
      <c r="A272" s="134" t="s">
        <v>86</v>
      </c>
      <c r="B272" s="134" t="s">
        <v>56</v>
      </c>
      <c r="C272" s="134" t="s">
        <v>39</v>
      </c>
      <c r="D272" s="135">
        <v>675.0</v>
      </c>
      <c r="E272" s="136">
        <v>750.0</v>
      </c>
      <c r="F272" s="136">
        <v>0.0</v>
      </c>
      <c r="G272" s="136">
        <v>0.0</v>
      </c>
      <c r="H272" s="136">
        <v>0.0</v>
      </c>
      <c r="I272" s="136">
        <v>750.0</v>
      </c>
      <c r="J272" s="136">
        <v>0.0</v>
      </c>
      <c r="K272" s="136">
        <v>0.0</v>
      </c>
      <c r="L272" s="136">
        <v>0.0</v>
      </c>
      <c r="M272" s="136">
        <v>0.0</v>
      </c>
      <c r="N272" s="136">
        <v>0.0</v>
      </c>
      <c r="O272" s="136">
        <v>0.0</v>
      </c>
      <c r="P272" s="136">
        <v>0.0</v>
      </c>
      <c r="Q272" s="136">
        <v>0.0</v>
      </c>
      <c r="R272" s="136">
        <v>0.0</v>
      </c>
      <c r="S272" s="137">
        <v>45597.0</v>
      </c>
      <c r="T272" s="137">
        <v>46326.0</v>
      </c>
    </row>
    <row r="273" ht="18.0" customHeight="1">
      <c r="A273" s="134" t="s">
        <v>87</v>
      </c>
      <c r="B273" s="134" t="s">
        <v>56</v>
      </c>
      <c r="C273" s="134" t="s">
        <v>39</v>
      </c>
      <c r="D273" s="135">
        <v>675.0</v>
      </c>
      <c r="E273" s="136">
        <v>725.0</v>
      </c>
      <c r="F273" s="136">
        <v>-582.0</v>
      </c>
      <c r="G273" s="136">
        <v>0.0</v>
      </c>
      <c r="H273" s="136">
        <v>0.0</v>
      </c>
      <c r="I273" s="136">
        <v>148.0</v>
      </c>
      <c r="J273" s="136">
        <v>577.0</v>
      </c>
      <c r="K273" s="136">
        <v>0.0</v>
      </c>
      <c r="L273" s="136">
        <v>0.0</v>
      </c>
      <c r="M273" s="136">
        <v>0.0</v>
      </c>
      <c r="N273" s="136">
        <v>0.0</v>
      </c>
      <c r="O273" s="136">
        <v>0.0</v>
      </c>
      <c r="P273" s="136">
        <v>0.0</v>
      </c>
      <c r="Q273" s="136">
        <v>0.0</v>
      </c>
      <c r="R273" s="136">
        <v>0.0</v>
      </c>
      <c r="S273" s="137">
        <v>44772.0</v>
      </c>
      <c r="T273" s="137">
        <v>46233.0</v>
      </c>
    </row>
    <row r="274" ht="18.0" customHeight="1">
      <c r="A274" s="134" t="s">
        <v>88</v>
      </c>
      <c r="B274" s="134" t="s">
        <v>56</v>
      </c>
      <c r="C274" s="134" t="s">
        <v>39</v>
      </c>
      <c r="D274" s="135">
        <v>675.0</v>
      </c>
      <c r="E274" s="136">
        <v>800.0</v>
      </c>
      <c r="F274" s="136">
        <v>451.47</v>
      </c>
      <c r="G274" s="136">
        <v>0.0</v>
      </c>
      <c r="H274" s="136">
        <v>0.0</v>
      </c>
      <c r="I274" s="136">
        <v>800.0</v>
      </c>
      <c r="J274" s="136">
        <v>0.0</v>
      </c>
      <c r="K274" s="136">
        <v>0.0</v>
      </c>
      <c r="L274" s="136">
        <v>0.0</v>
      </c>
      <c r="M274" s="136">
        <v>0.0</v>
      </c>
      <c r="N274" s="136">
        <v>0.0</v>
      </c>
      <c r="O274" s="136">
        <v>0.0</v>
      </c>
      <c r="P274" s="136">
        <v>0.0</v>
      </c>
      <c r="Q274" s="136">
        <v>0.0</v>
      </c>
      <c r="R274" s="136">
        <v>0.0</v>
      </c>
      <c r="S274" s="137">
        <v>45763.0</v>
      </c>
      <c r="T274" s="137">
        <v>46142.0</v>
      </c>
    </row>
    <row r="275" ht="18.0" customHeight="1">
      <c r="A275" s="134" t="s">
        <v>89</v>
      </c>
      <c r="B275" s="134" t="s">
        <v>56</v>
      </c>
      <c r="C275" s="134" t="s">
        <v>39</v>
      </c>
      <c r="D275" s="135">
        <v>675.0</v>
      </c>
      <c r="E275" s="136">
        <v>725.0</v>
      </c>
      <c r="F275" s="136">
        <v>0.0</v>
      </c>
      <c r="G275" s="136">
        <v>0.0</v>
      </c>
      <c r="H275" s="136">
        <v>0.0</v>
      </c>
      <c r="I275" s="136">
        <v>725.0</v>
      </c>
      <c r="J275" s="136">
        <v>0.0</v>
      </c>
      <c r="K275" s="136">
        <v>0.0</v>
      </c>
      <c r="L275" s="136">
        <v>0.0</v>
      </c>
      <c r="M275" s="136">
        <v>0.0</v>
      </c>
      <c r="N275" s="136">
        <v>0.0</v>
      </c>
      <c r="O275" s="136">
        <v>0.0</v>
      </c>
      <c r="P275" s="136">
        <v>0.0</v>
      </c>
      <c r="Q275" s="136">
        <v>0.0</v>
      </c>
      <c r="R275" s="136">
        <v>0.0</v>
      </c>
      <c r="S275" s="137">
        <v>44712.0</v>
      </c>
      <c r="T275" s="137">
        <v>46173.0</v>
      </c>
    </row>
    <row r="276" ht="18.0" customHeight="1">
      <c r="A276" s="134" t="s">
        <v>90</v>
      </c>
      <c r="B276" s="134" t="s">
        <v>56</v>
      </c>
      <c r="C276" s="134" t="s">
        <v>39</v>
      </c>
      <c r="D276" s="135">
        <v>675.0</v>
      </c>
      <c r="E276" s="136">
        <v>765.0</v>
      </c>
      <c r="F276" s="136">
        <v>15.0</v>
      </c>
      <c r="G276" s="136">
        <v>0.0</v>
      </c>
      <c r="H276" s="136">
        <v>0.0</v>
      </c>
      <c r="I276" s="136">
        <v>750.0</v>
      </c>
      <c r="J276" s="136">
        <v>0.0</v>
      </c>
      <c r="K276" s="136">
        <v>0.0</v>
      </c>
      <c r="L276" s="136">
        <v>0.0</v>
      </c>
      <c r="M276" s="136">
        <v>0.0</v>
      </c>
      <c r="N276" s="136">
        <v>0.0</v>
      </c>
      <c r="O276" s="136">
        <v>0.0</v>
      </c>
      <c r="P276" s="136">
        <v>0.0</v>
      </c>
      <c r="Q276" s="136">
        <v>0.0</v>
      </c>
      <c r="R276" s="136">
        <v>15.0</v>
      </c>
      <c r="S276" s="137">
        <v>44742.0</v>
      </c>
      <c r="T276" s="137">
        <v>46356.0</v>
      </c>
    </row>
    <row r="277" ht="18.0" customHeight="1">
      <c r="A277" s="134" t="s">
        <v>91</v>
      </c>
      <c r="B277" s="134" t="s">
        <v>56</v>
      </c>
      <c r="C277" s="134" t="s">
        <v>39</v>
      </c>
      <c r="D277" s="135">
        <v>675.0</v>
      </c>
      <c r="E277" s="136">
        <v>775.0</v>
      </c>
      <c r="F277" s="136">
        <v>-1.0</v>
      </c>
      <c r="G277" s="136">
        <v>0.0</v>
      </c>
      <c r="H277" s="136">
        <v>0.0</v>
      </c>
      <c r="I277" s="136">
        <v>775.0</v>
      </c>
      <c r="J277" s="136">
        <v>0.0</v>
      </c>
      <c r="K277" s="136">
        <v>0.0</v>
      </c>
      <c r="L277" s="136">
        <v>0.0</v>
      </c>
      <c r="M277" s="136">
        <v>0.0</v>
      </c>
      <c r="N277" s="136">
        <v>0.0</v>
      </c>
      <c r="O277" s="136">
        <v>0.0</v>
      </c>
      <c r="P277" s="136">
        <v>0.0</v>
      </c>
      <c r="Q277" s="136">
        <v>0.0</v>
      </c>
      <c r="R277" s="136">
        <v>0.0</v>
      </c>
      <c r="S277" s="137">
        <v>45231.0</v>
      </c>
      <c r="T277" s="137">
        <v>46356.0</v>
      </c>
    </row>
    <row r="278" ht="18.0" customHeight="1">
      <c r="A278" s="134" t="s">
        <v>92</v>
      </c>
      <c r="B278" s="134" t="s">
        <v>56</v>
      </c>
      <c r="C278" s="134" t="s">
        <v>39</v>
      </c>
      <c r="D278" s="135">
        <v>675.0</v>
      </c>
      <c r="E278" s="136">
        <v>775.0</v>
      </c>
      <c r="F278" s="136">
        <v>807.36</v>
      </c>
      <c r="G278" s="136">
        <v>0.0</v>
      </c>
      <c r="H278" s="136">
        <v>0.0</v>
      </c>
      <c r="I278" s="136">
        <v>0.0</v>
      </c>
      <c r="J278" s="136">
        <v>775.0</v>
      </c>
      <c r="K278" s="136">
        <v>0.0</v>
      </c>
      <c r="L278" s="136">
        <v>0.0</v>
      </c>
      <c r="M278" s="136">
        <v>0.0</v>
      </c>
      <c r="N278" s="136">
        <v>0.0</v>
      </c>
      <c r="O278" s="136">
        <v>0.0</v>
      </c>
      <c r="P278" s="136">
        <v>0.0</v>
      </c>
      <c r="Q278" s="136">
        <v>0.0</v>
      </c>
      <c r="R278" s="136">
        <v>0.0</v>
      </c>
      <c r="S278" s="137">
        <v>44835.0</v>
      </c>
      <c r="T278" s="137">
        <v>46294.0</v>
      </c>
    </row>
    <row r="279" ht="18.0" customHeight="1">
      <c r="A279" s="138" t="s">
        <v>247</v>
      </c>
      <c r="B279" s="138"/>
      <c r="C279" s="138" t="s">
        <v>44</v>
      </c>
      <c r="D279" s="139">
        <v>20250.0</v>
      </c>
      <c r="E279" s="140">
        <v>22115.0</v>
      </c>
      <c r="F279" s="140">
        <v>866.47</v>
      </c>
      <c r="G279" s="140">
        <v>0.0</v>
      </c>
      <c r="H279" s="140">
        <v>0.0</v>
      </c>
      <c r="I279" s="140">
        <v>19513.0</v>
      </c>
      <c r="J279" s="140">
        <v>2537.0</v>
      </c>
      <c r="K279" s="140">
        <v>0.0</v>
      </c>
      <c r="L279" s="140">
        <v>0.0</v>
      </c>
      <c r="M279" s="140">
        <v>0.0</v>
      </c>
      <c r="N279" s="140">
        <v>0.0</v>
      </c>
      <c r="O279" s="140">
        <v>50.0</v>
      </c>
      <c r="P279" s="140">
        <v>0.0</v>
      </c>
      <c r="Q279" s="140">
        <v>0.0</v>
      </c>
      <c r="R279" s="140">
        <v>15.0</v>
      </c>
      <c r="S279" s="141"/>
      <c r="T279" s="141"/>
    </row>
    <row r="280" ht="18.0" customHeight="1"/>
    <row r="281" ht="18.0" customHeight="1">
      <c r="A281" s="138" t="s">
        <v>248</v>
      </c>
      <c r="B281" s="138"/>
      <c r="C281" s="138" t="s">
        <v>202</v>
      </c>
      <c r="D281" s="139">
        <v>229909.0</v>
      </c>
      <c r="E281" s="140">
        <v>211114.8</v>
      </c>
      <c r="F281" s="140">
        <v>28567.9</v>
      </c>
      <c r="G281" s="140">
        <v>900.0</v>
      </c>
      <c r="H281" s="140">
        <v>8600.8</v>
      </c>
      <c r="I281" s="140">
        <v>162559.5</v>
      </c>
      <c r="J281" s="140">
        <v>3465.0</v>
      </c>
      <c r="K281" s="140">
        <v>4541.0</v>
      </c>
      <c r="L281" s="140">
        <v>18616.0</v>
      </c>
      <c r="M281" s="140">
        <v>1958.0</v>
      </c>
      <c r="N281" s="140">
        <v>9869.0</v>
      </c>
      <c r="O281" s="140">
        <v>450.0</v>
      </c>
      <c r="P281" s="140">
        <v>25.0</v>
      </c>
      <c r="Q281" s="140">
        <v>15.0</v>
      </c>
      <c r="R281" s="140">
        <v>115.5</v>
      </c>
      <c r="S281" s="141"/>
      <c r="T281" s="141"/>
    </row>
    <row r="282" ht="18.0" customHeight="1">
      <c r="A282" s="142" t="s">
        <v>250</v>
      </c>
      <c r="B282" s="143"/>
      <c r="C282" s="144">
        <f t="shared" ref="C282:C284" si="1">IFERROR(
  SUMPRODUCT((A$285:A$295=A282)*C$285:C$295*I$285:I$295) /
  SUMPRODUCT((A$285:A$295=A282)*I$285:I$295),
0)</f>
        <v>0.9184081633</v>
      </c>
      <c r="D282" s="145">
        <f t="shared" ref="D282:D284" si="2">IFERROR(
  SUMPRODUCT((A$285:A$295=A282)*D$285:D$295*I$285:I$295) /
  SUMPRODUCT((A$285:A$295=A282)*I$285:I$295),
0)</f>
        <v>0.9785367079</v>
      </c>
      <c r="E282" s="146">
        <f t="shared" ref="E282:E284" si="3">IFERROR(
  SUMPRODUCT((A$285:A$295=A282)*E$285:E$295),
0)
</f>
        <v>-1401.77</v>
      </c>
      <c r="F282" s="147">
        <f t="shared" ref="F282:F284" si="4">IFERROR(
  SUMPRODUCT((A$285:A$295=A282)*F$285:F$295),
0)
</f>
        <v>2016.48</v>
      </c>
      <c r="G282" s="148">
        <f t="shared" ref="G282:G284" si="5">IFERROR(
  SUMPRODUCT((A$285:A$295=A282)*G$285:G$295),
0)
</f>
        <v>3</v>
      </c>
      <c r="H282" s="149">
        <f t="shared" ref="H282:H284" si="6">IFERROR(
  SUMPRODUCT((A$285:A$295=A282)*H$285:H$295*I$285:I$295) /
  SUMPRODUCT((A$285:A$295=A282)*I$285:I$295),
0)</f>
        <v>0.8826530612</v>
      </c>
    </row>
    <row r="283" ht="18.0" customHeight="1">
      <c r="A283" s="196" t="s">
        <v>251</v>
      </c>
      <c r="B283" s="153"/>
      <c r="C283" s="154">
        <f t="shared" si="1"/>
        <v>0.8644170854</v>
      </c>
      <c r="D283" s="155">
        <f t="shared" si="2"/>
        <v>0.904572076</v>
      </c>
      <c r="E283" s="156">
        <f t="shared" si="3"/>
        <v>13375.96</v>
      </c>
      <c r="F283" s="157">
        <f t="shared" si="4"/>
        <v>26551.42</v>
      </c>
      <c r="G283" s="158">
        <f t="shared" si="5"/>
        <v>2</v>
      </c>
      <c r="H283" s="149">
        <f t="shared" si="6"/>
        <v>0.7895918932</v>
      </c>
    </row>
    <row r="284" ht="18.0" customHeight="1">
      <c r="A284" s="160" t="s">
        <v>252</v>
      </c>
      <c r="B284" s="161"/>
      <c r="C284" s="162">
        <f t="shared" si="1"/>
        <v>0</v>
      </c>
      <c r="D284" s="163">
        <f t="shared" si="2"/>
        <v>0</v>
      </c>
      <c r="E284" s="164">
        <f t="shared" si="3"/>
        <v>0</v>
      </c>
      <c r="F284" s="165">
        <f t="shared" si="4"/>
        <v>0</v>
      </c>
      <c r="G284" s="166">
        <f t="shared" si="5"/>
        <v>0</v>
      </c>
      <c r="H284" s="149">
        <f t="shared" si="6"/>
        <v>0</v>
      </c>
    </row>
    <row r="285" ht="18.0" customHeight="1">
      <c r="A285" s="187" t="s">
        <v>250</v>
      </c>
      <c r="B285" s="170" t="s">
        <v>253</v>
      </c>
      <c r="C285" s="171">
        <f>IFERROR(__xludf.DUMMYFUNCTION("IF(ISNUMBER(SEARCH(""%"",C15)), VALUE(REGEXREPLACE(C15,""[^0-9.]"",""""))/100, VALUE(REGEXREPLACE(C15,""[^0-9.]"","""")))
"),0.75)</f>
        <v>0.75</v>
      </c>
      <c r="D285" s="172">
        <f t="array" ref="D285">SUM(MAP(E11:E14, F11:F14, LAMBDA(e,f, MAX(0, e-f)))) / SUM(E11:E14)
</f>
        <v>0.9997435897</v>
      </c>
      <c r="E285" s="173">
        <f t="array" ref="E285">SUM(MAP(E$11:E$14, F$11:F$14, LAMBDA(e,f, MIN(e, f))))
</f>
        <v>0.75</v>
      </c>
      <c r="F285" s="174">
        <f>F15</f>
        <v>0.75</v>
      </c>
      <c r="G285" s="175">
        <f>IFERROR(__xludf.DUMMYFUNCTION("SUMPRODUCT(--(C11:C14&lt;&gt;""Vacant-Unrented""),--(C11:C14&lt;&gt;""Vacant-Rented""),--((N(W11:W14)&gt;N(X11:X14))+N(REGEXMATCH(LOWER(C11:C14),""evict""))&gt;0))"),0.0)</f>
        <v>0</v>
      </c>
      <c r="H285" s="176">
        <f>IFERROR(__xludf.DUMMYFUNCTION("IFERROR(SUMPRODUCT(--(C11:C14&lt;&gt;""Vacant-Unrented""),--(C11:C14&lt;&gt;""Vacant-Rented""),--(NOT(REGEXMATCH(LOWER(C11:C14),""evict""))),--(T11:T14&lt;&gt;""""),--(T11:T14&gt;TODAY()+Dashboard!$L$3),--(N(W11:W14)&lt;=N(X11:X14)))/SUMPRODUCT(--(C11:C14&lt;&gt;""Vacant-Unrented""),-"&amp;"-(C11:C14&lt;&gt;""Vacant-Rented"")),0)
"),1.0)</f>
        <v>1</v>
      </c>
      <c r="I285" s="175">
        <v>4.0</v>
      </c>
    </row>
    <row r="286" ht="18.0" customHeight="1">
      <c r="A286" s="187" t="s">
        <v>250</v>
      </c>
      <c r="B286" s="170" t="s">
        <v>254</v>
      </c>
      <c r="C286" s="178">
        <f>IFERROR(__xludf.DUMMYFUNCTION("IF(ISNUMBER(SEARCH(""%"",C23)), VALUE(REGEXREPLACE(C23,""[^0-9.]"",""""))/100, VALUE(REGEXREPLACE(C23,""[^0-9.]"","""")))
"),0.667)</f>
        <v>0.667</v>
      </c>
      <c r="D286" s="172">
        <f t="array" ref="D286">SUM(MAP(E17:E22, F17:F22, LAMBDA(e,f, MAX(0, e-f)))) / SUM(E17:E22)
</f>
        <v>1</v>
      </c>
      <c r="E286" s="173">
        <f t="array" ref="E286">SUM(MAP(E$17:E$22, F$17:F$22, LAMBDA(e,f, MIN(e, f))))
</f>
        <v>0</v>
      </c>
      <c r="F286" s="174">
        <f>F23</f>
        <v>0</v>
      </c>
      <c r="G286" s="175">
        <f>IFERROR(__xludf.DUMMYFUNCTION("SUMPRODUCT(--(C17:C22&lt;&gt;""Vacant-Unrented""),--(C17:C22&lt;&gt;""Vacant-Rented""),--((N(W17:W22)&gt;N(X17:X22))+N(REGEXMATCH(LOWER(C17:C22),""evict""))&gt;0))"),0.0)</f>
        <v>0</v>
      </c>
      <c r="H286" s="176">
        <f>IFERROR(__xludf.DUMMYFUNCTION("IFERROR(SUMPRODUCT(--(C17:C22&lt;&gt;""Vacant-Unrented""),--(C17:C22&lt;&gt;""Vacant-Rented""),--(NOT(REGEXMATCH(LOWER(C17:C22),""evict""))),--(T17:T22&lt;&gt;""""),--(T17:T22&gt;TODAY()+Dashboard!$L$3),--(N(W17:W22)&lt;=N(X17:X22)))/SUMPRODUCT(--(C17:C22&lt;&gt;""Vacant-Unrented""),-"&amp;"-(C17:C22&lt;&gt;""Vacant-Rented"")),0)
"),0.75)</f>
        <v>0.75</v>
      </c>
      <c r="I286" s="175">
        <v>6.0</v>
      </c>
    </row>
    <row r="287" ht="18.0" customHeight="1">
      <c r="A287" s="187" t="s">
        <v>250</v>
      </c>
      <c r="B287" s="170" t="s">
        <v>256</v>
      </c>
      <c r="C287" s="178">
        <f>IFERROR(__xludf.DUMMYFUNCTION("IF(ISNUMBER(SEARCH(""%"",C30)), VALUE(REGEXREPLACE(C30,""[^0-9.]"",""""))/100, VALUE(REGEXREPLACE(C30,""[^0-9.]"","""")))
"),0.8)</f>
        <v>0.8</v>
      </c>
      <c r="D287" s="172">
        <f t="array" ref="D287">SUM(MAP(E25:E29, F25:F29, LAMBDA(e, f, MAX(0, e - f)))) / SUM(E25:E29)</f>
        <v>0.7521367521</v>
      </c>
      <c r="E287" s="173">
        <f t="array" ref="E287">SUM(MAP(E$25:E$29, F$25:F$29, LAMBDA(e,f, MIN(e, f))))
</f>
        <v>725</v>
      </c>
      <c r="F287" s="174">
        <f>F30</f>
        <v>2360.25</v>
      </c>
      <c r="G287" s="175">
        <f>IFERROR(__xludf.DUMMYFUNCTION("SUMPRODUCT(--(C25:C29&lt;&gt;""Vacant-Unrented""),--(C25:C29&lt;&gt;""Vacant-Rented""),--((N(W25:W29)&gt;N(X25:X29))+N(REGEXMATCH(LOWER(C25:C29),""evict""))&gt;0))"),1.0)</f>
        <v>1</v>
      </c>
      <c r="H287" s="176">
        <f>IFERROR(__xludf.DUMMYFUNCTION("IFERROR(SUMPRODUCT(--(C25:C29&lt;&gt;""Vacant-Unrented""),--(C25:C29&lt;&gt;""Vacant-Rented""),--(NOT(REGEXMATCH(LOWER(C25:C29),""evict""))),--(T25:T29&lt;&gt;""""),--(T25:T29&gt;TODAY()+Dashboard!$L$3),--(N(W25:W29)&lt;=N(X25:X29)))/SUMPRODUCT(--(C25:C29&lt;&gt;""Vacant-Unrented""),-"&amp;"-(C25:C29&lt;&gt;""Vacant-Rented"")),0)
"),0.75)</f>
        <v>0.75</v>
      </c>
      <c r="I287" s="175">
        <v>5.0</v>
      </c>
    </row>
    <row r="288" ht="18.0" customHeight="1">
      <c r="A288" s="187" t="s">
        <v>250</v>
      </c>
      <c r="B288" s="170" t="s">
        <v>258</v>
      </c>
      <c r="C288" s="171">
        <f>IFERROR(__xludf.DUMMYFUNCTION("IF(ISNUMBER(SEARCH(""%"",C34)), VALUE(REGEXREPLACE(C34,""[^0-9.]"",""""))/100, VALUE(REGEXREPLACE(C34,""[^0-9.]"","""")))
"),1.0)</f>
        <v>1</v>
      </c>
      <c r="D288" s="172">
        <f t="array" ref="D288">SUM(MAP(E32:E33, F32:F33, LAMBDA(e,f, MAX(0, e-f)))) / SUM(E32:E33)
</f>
        <v>1.013161677</v>
      </c>
      <c r="E288" s="173">
        <f t="array" ref="E288">SUM(MAP(E$32:E$33, F$32:F$33, LAMBDA(e,f, MIN(e, f))))
</f>
        <v>-10.99</v>
      </c>
      <c r="F288" s="174">
        <f>F34</f>
        <v>-10.99</v>
      </c>
      <c r="G288" s="175">
        <f>IFERROR(__xludf.DUMMYFUNCTION("SUMPRODUCT(--(C36:C37&lt;&gt;""Vacant-Unrented""),--(C36:C37&lt;&gt;""Vacant-Rented""),--((N(W36:W37)&gt;N(X36:X37))+N(REGEXMATCH(LOWER(C36:C37),""evict""))&gt;0))"),0.0)</f>
        <v>0</v>
      </c>
      <c r="H288" s="176">
        <f>IFERROR(__xludf.DUMMYFUNCTION("IFERROR(SUMPRODUCT(--(C32:C33&lt;&gt;""Vacant-Unrented""),--(C32:C33&lt;&gt;""Vacant-Rented""),--(NOT(REGEXMATCH(LOWER(C32:C33),""evict""))),--(T32:T33&lt;&gt;""""),--(T32:T33&gt;TODAY()+Dashboard!$L$3),--(N(W32:W33)&lt;=N(X32:X33)))/SUMPRODUCT(--(C32:C33&lt;&gt;""Vacant-Unrented""),-"&amp;"-(C32:C33&lt;&gt;""Vacant-Rented"")),0)
"),1.0)</f>
        <v>1</v>
      </c>
      <c r="I288" s="175">
        <v>2.0</v>
      </c>
    </row>
    <row r="289" ht="18.0" customHeight="1">
      <c r="A289" s="187" t="s">
        <v>250</v>
      </c>
      <c r="B289" s="170" t="s">
        <v>260</v>
      </c>
      <c r="C289" s="178">
        <f>IFERROR(__xludf.DUMMYFUNCTION("IF(ISNUMBER(SEARCH(""%"",C38)), VALUE(REGEXREPLACE(C38,""[^0-9.]"",""""))/100, VALUE(REGEXREPLACE(C38,""[^0-9.]"","""")))
"),1.0)</f>
        <v>1</v>
      </c>
      <c r="D289" s="172">
        <f t="array" ref="D289">SUM(MAP(E36:E37, F36:F37, LAMBDA(e,f, MAX(0, e-f)))) / SUM(E36:E37)
</f>
        <v>1.5</v>
      </c>
      <c r="E289" s="173">
        <f t="array" ref="E289">SUM(MAP(E$36:E$37, F$36:F$37, LAMBDA(e,f, MIN(e, f))))
</f>
        <v>-1200</v>
      </c>
      <c r="F289" s="174">
        <f>F38</f>
        <v>-1200</v>
      </c>
      <c r="G289" s="175">
        <f>IFERROR(__xludf.DUMMYFUNCTION("SUMPRODUCT(--(C40:C75&lt;&gt;""Vacant-Unrented""),--(C40:C75&lt;&gt;""Vacant-Rented""),--((N(W40:W75)&gt;N(X40:X75))+N(REGEXMATCH(LOWER(C40:C75),""evict""))&gt;0))"),1.0)</f>
        <v>1</v>
      </c>
      <c r="H289" s="176">
        <f>IFERROR(__xludf.DUMMYFUNCTION("IFERROR(SUMPRODUCT(--(C36:C37&lt;&gt;""Vacant-Unrented""),--(C36:C37&lt;&gt;""Vacant-Rented""),--(NOT(REGEXMATCH(LOWER(C36:C37),""evict""))),--(T36:T37&lt;&gt;""""),--(T36:T37&gt;TODAY()+Dashboard!$L$3),--(N(W36:W37)&lt;=N(X36:X37)))/SUMPRODUCT(--(C36:C37&lt;&gt;""Vacant-Unrented""),-"&amp;"-(C36:C37&lt;&gt;""Vacant-Rented"")),0)
"),1.0)</f>
        <v>1</v>
      </c>
      <c r="I289" s="175">
        <v>2.0</v>
      </c>
    </row>
    <row r="290" ht="18.0" customHeight="1">
      <c r="A290" s="179" t="s">
        <v>251</v>
      </c>
      <c r="B290" s="170" t="s">
        <v>262</v>
      </c>
      <c r="C290" s="178">
        <f>IFERROR(__xludf.DUMMYFUNCTION("IF(ISNUMBER(SEARCH(""%"",C76)), VALUE(REGEXREPLACE(C76,""[^0-9.]"",""""))/100, VALUE(REGEXREPLACE(C76,""[^0-9.]"","""")))
"),0.889)</f>
        <v>0.889</v>
      </c>
      <c r="D290" s="172">
        <f t="array" ref="D290">SUM(MAP(E40:E75, F40:F75, LAMBDA(e,f, MAX(0, e-f)))) / SUM(E40:E75)
</f>
        <v>0.814936456</v>
      </c>
      <c r="E290" s="173">
        <f t="array" ref="E290">SUM(MAP(E$40:E$75, F$40:F$75, LAMBDA(e,f, MIN(e, f))))
</f>
        <v>5373.32</v>
      </c>
      <c r="F290" s="174">
        <f>F76</f>
        <v>11261.89</v>
      </c>
      <c r="G290" s="175">
        <f>IFERROR(__xludf.DUMMYFUNCTION("SUMPRODUCT(--(C40:C75&lt;&gt;""Vacant-Unrented""),--(C40:C75&lt;&gt;""Vacant-Rented""),--((N(W40:W75)&gt;N(X40:X75))+N(REGEXMATCH(LOWER(C40:C75),""evict""))&gt;0))"),1.0)</f>
        <v>1</v>
      </c>
      <c r="H290" s="176">
        <f>IFERROR(__xludf.DUMMYFUNCTION("IFERROR(SUMPRODUCT(--(C40:C75&lt;&gt;""Vacant-Unrented""),--(C40:C75&lt;&gt;""Vacant-Rented""),--(NOT(REGEXMATCH(LOWER(C40:C75),""evict""))),--(T40:T75&lt;&gt;""""),--(T40:T75&gt;TODAY()+Dashboard!$L$3),--(N(W40:W75)&lt;=N(X40:X75)))/SUMPRODUCT(--(C40:C75&lt;&gt;""Vacant-Unrented""),-"&amp;"-(C40:C75&lt;&gt;""Vacant-Rented"")),0)
"),0.84375)</f>
        <v>0.84375</v>
      </c>
      <c r="I290" s="175">
        <v>36.0</v>
      </c>
    </row>
    <row r="291" ht="18.0" customHeight="1">
      <c r="A291" s="187" t="s">
        <v>251</v>
      </c>
      <c r="B291" s="170" t="s">
        <v>264</v>
      </c>
      <c r="C291" s="171">
        <f>IFERROR(__xludf.DUMMYFUNCTION("IF(ISNUMBER(SEARCH(""%"",C129)), VALUE(REGEXREPLACE(C129,""[^0-9.]"",""""))/100, VALUE(REGEXREPLACE(C129,""[^0-9.]"","""")))
"),0.765)</f>
        <v>0.765</v>
      </c>
      <c r="D291" s="172">
        <f t="array" ref="D291">SUM(MAP(E79:E129, F79:F129, LAMBDA(e,f, MAX(0, e-f)))) / SUM(E79:E129)
</f>
        <v>0.8355436136</v>
      </c>
      <c r="E291" s="173">
        <f t="array" ref="E291">SUM(MAP(E$78:E$128, F$78:F$128, LAMBDA(e,f, MIN(e, f))))
</f>
        <v>5133.76</v>
      </c>
      <c r="F291" s="174">
        <f>F129</f>
        <v>9662.71</v>
      </c>
      <c r="G291" s="175">
        <f>IFERROR(__xludf.DUMMYFUNCTION("INT(
  SUMPRODUCT(
    --(C78:C128&lt;&gt;""Vacant-Unrented""),
    --(C78:C128&lt;&gt;""Vacant-Rented""),
    --((N(W78:W128)&gt;N(X78:X128)) + N(REGEXMATCH(LOWER(C78:C128),""evict"")) &gt; 0)
  )
)
"),1.0)</f>
        <v>1</v>
      </c>
      <c r="H291" s="176">
        <f>IFERROR(__xludf.DUMMYFUNCTION("IFERROR(SUMPRODUCT(--(C78:C128&lt;&gt;""Vacant-Unrented""),--(C78:C128&lt;&gt;""Vacant-Rented""),--(NOT(REGEXMATCH(LOWER(C78:C128),""evict""))),--(T78:T128&lt;&gt;""""),--(T78:T128&gt;TODAY()+Dashboard!$L$3),--(N(W78:W128)&lt;=N(X78:X128)))/SUMPRODUCT(--(C78:C128&lt;&gt;""Vacant-Unren"&amp;"ted""),--(C78:C128&lt;&gt;""Vacant-Rented"")),0)
"),0.8974358974358975)</f>
        <v>0.8974358974</v>
      </c>
      <c r="I291" s="175">
        <v>51.0</v>
      </c>
    </row>
    <row r="292" ht="18.0" customHeight="1">
      <c r="A292" s="179" t="s">
        <v>251</v>
      </c>
      <c r="B292" s="170" t="s">
        <v>266</v>
      </c>
      <c r="C292" s="171">
        <f>IFERROR(__xludf.DUMMYFUNCTION("IF(ISNUMBER(SEARCH(""%"",C171)), VALUE(REGEXREPLACE(C171,""[^0-9.]"",""""))/100, VALUE(REGEXREPLACE(C171,""[^0-9.]"","""")))
"),0.925)</f>
        <v>0.925</v>
      </c>
      <c r="D292" s="172">
        <f t="array" ref="D292">SUM(MAP(E131:E170, F131:F170, LAMBDA(e,f, MAX(0, e-f)))) / SUM(E131:E170)
</f>
        <v>0.9171557296</v>
      </c>
      <c r="E292" s="173">
        <f t="array" ref="E292">SUM(MAP(E$131:E$170, F$131:F$170, LAMBDA(e,f, MIN(e, f))))
</f>
        <v>2813.35</v>
      </c>
      <c r="F292" s="174">
        <f>F171</f>
        <v>3748.03</v>
      </c>
      <c r="G292" s="175">
        <f>IFERROR(__xludf.DUMMYFUNCTION("SUMPRODUCT(--(C131:C170&lt;&gt;""Vacant-Unrented""),--(C131:C170&lt;&gt;""Vacant-Rented""),--((N(W131:W170)&gt;N(X131:X170))+N(REGEXMATCH(LOWER(C131:C170),""evict""))&gt;0))"),0.0)</f>
        <v>0</v>
      </c>
      <c r="H292" s="176">
        <f>IFERROR(__xludf.DUMMYFUNCTION("IFERROR(SUMPRODUCT(--(C131:C170&lt;&gt;""Vacant-Unrented""),--(C131:C170&lt;&gt;""Vacant-Rented""),--(NOT(REGEXMATCH(LOWER(C131:C170),""evict""))),--(T131:T170&lt;&gt;""""),--(T131:T170&gt;TODAY()+Dashboard!$L$3),--(N(W131:W170)&lt;=N(X131:X170)))/SUMPRODUCT(--(C131:C170&lt;&gt;""Vaca"&amp;"nt-Unrented""),--(C131:C170&lt;&gt;""Vacant-Rented"")),0)
"),0.7567567567567568)</f>
        <v>0.7567567568</v>
      </c>
      <c r="I292" s="175">
        <v>40.0</v>
      </c>
    </row>
    <row r="293" ht="18.0" customHeight="1">
      <c r="A293" s="197" t="s">
        <v>251</v>
      </c>
      <c r="B293" s="170" t="s">
        <v>268</v>
      </c>
      <c r="C293" s="171">
        <f>IFERROR(__xludf.DUMMYFUNCTION("IF(ISNUMBER(SEARCH(""%"",C195)), VALUE(REGEXREPLACE(C195,""[^0-9.]"",""""))/100, VALUE(REGEXREPLACE(C195,""[^0-9.]"","""")))
"),1.0)</f>
        <v>1</v>
      </c>
      <c r="D293" s="172">
        <f t="array" ref="D293">SUM(MAP(E174:E195, F174:F195, LAMBDA(e,f, MAX(0, e-f)))) / SUM(E174:E195)
</f>
        <v>0.9151462755</v>
      </c>
      <c r="E293" s="173">
        <f t="array" ref="E293">SUM(MAP(E$173:E$194, F$173:F$194, LAMBDA(e,f, MIN(e, f))))
</f>
        <v>1289.52</v>
      </c>
      <c r="F293" s="174">
        <f>F195</f>
        <v>1689.27</v>
      </c>
      <c r="G293" s="175">
        <f>IFERROR(__xludf.DUMMYFUNCTION("SUMPRODUCT(--(C173:C194&lt;&gt;""Vacant-Unrented""),--(C173:C194&lt;&gt;""Vacant-Rented""),--((N(W173:W194)&gt;N(X173:X194))+N(REGEXMATCH(LOWER(C173:C194),""evict""))&gt;0))"),0.0)</f>
        <v>0</v>
      </c>
      <c r="H293" s="176">
        <f>IFERROR(__xludf.DUMMYFUNCTION("IFERROR(SUMPRODUCT(--(C173:C194&lt;&gt;""Vacant-Unrented""),--(C173:C194&lt;&gt;""Vacant-Rented""),--(NOT(REGEXMATCH(LOWER(C173:C194),""evict""))),--(T173:T194&lt;&gt;""""),--(T173:T194&gt;TODAY()+Dashboard!$L$3),--(N(W173:W194)&lt;=N(X173:X194)))/SUMPRODUCT(--(C173:C194&lt;&gt;""Vaca"&amp;"nt-Unrented""),--(C173:C194&lt;&gt;""Vacant-Rented"")),0)
"),0.6818181818181818)</f>
        <v>0.6818181818</v>
      </c>
      <c r="I293" s="175">
        <v>22.0</v>
      </c>
    </row>
    <row r="294" ht="18.0" customHeight="1">
      <c r="A294" s="179" t="s">
        <v>251</v>
      </c>
      <c r="B294" s="170" t="s">
        <v>270</v>
      </c>
      <c r="C294" s="171">
        <f>IFERROR(__xludf.DUMMYFUNCTION("IF(ISNUMBER(SEARCH(""%"",C247)), VALUE(REGEXREPLACE(C247,""[^0-9.]"",""""))/100, VALUE(REGEXREPLACE(C247,""[^0-9.]"","""")))
"),0.84)</f>
        <v>0.84</v>
      </c>
      <c r="D294" s="172">
        <f t="array" ref="D294">SUM(MAP(E197:E246, F197:F246, LAMBDA(e,f, MAX(0, e-f)))) / SUM(E197:E246)
</f>
        <v>1.024799183</v>
      </c>
      <c r="E294" s="173">
        <f t="array" ref="E294">SUM(MAP(E$197:E$246, F$197:F$246, LAMBDA(e,f, MIN(e, f))))
</f>
        <v>-1233.99</v>
      </c>
      <c r="F294" s="174">
        <f>F247</f>
        <v>189.52</v>
      </c>
      <c r="G294" s="175">
        <f>IFERROR(__xludf.DUMMYFUNCTION("SUMPRODUCT(--(C197:C246&lt;&gt;""Vacant-Unrented""),--(C197:C246&lt;&gt;""Vacant-Rented""),--((N(W197:W246)&gt;N(X197:X246))+N(REGEXMATCH(LOWER(C197:C246),""evict""))&gt;0))"),0.0)</f>
        <v>0</v>
      </c>
      <c r="H294" s="176">
        <f>IFERROR(__xludf.DUMMYFUNCTION("IFERROR(SUMPRODUCT(--(C197:C246&lt;&gt;""Vacant-Unrented""),--(C197:C246&lt;&gt;""Vacant-Rented""),--(NOT(REGEXMATCH(LOWER(C197:C246),""evict""))),--(T197:T246&lt;&gt;""""),--(T197:T246&gt;TODAY()+Dashboard!$L$3),--(N(W197:W246)&lt;=N(X197:X246)))/SUMPRODUCT(--(C197:C246&lt;&gt;""Vaca"&amp;"nt-Unrented""),--(C197:C246&lt;&gt;""Vacant-Rented"")),0)
"),0.7142857142857143)</f>
        <v>0.7142857143</v>
      </c>
      <c r="I294" s="175">
        <v>50.0</v>
      </c>
    </row>
    <row r="295" ht="18.0" customHeight="1">
      <c r="A295" s="179" t="s">
        <v>250</v>
      </c>
      <c r="B295" s="170" t="s">
        <v>272</v>
      </c>
      <c r="C295" s="181">
        <f>IFERROR(__xludf.DUMMYFUNCTION("IF(ISNUMBER(SEARCH(""%"",C279)), VALUE(REGEXREPLACE(C279,""[^0-9.]"",""""))/100, VALUE(REGEXREPLACE(C279,""[^0-9.]"","""")))
"),1.0)</f>
        <v>1</v>
      </c>
      <c r="D295" s="182">
        <f t="array" ref="D295">SUM(MAP(E250:E279, F250:F279, LAMBDA(e,f, MAX(0, e-f)))) / SUM(E250:E279)
</f>
        <v>0.9720772404</v>
      </c>
      <c r="E295" s="183">
        <f t="array" ref="E295">SUM(MAP(E$249:E$278, F$249:F$278, LAMBDA(e,f, MIN(e, f))))
</f>
        <v>-916.53</v>
      </c>
      <c r="F295" s="184">
        <f>F279</f>
        <v>866.47</v>
      </c>
      <c r="G295" s="185">
        <f>IFERROR(__xludf.DUMMYFUNCTION("SUMPRODUCT(--(C249:C278&lt;&gt;""Vacant-Unrented""),--(C249:C278&lt;&gt;""Vacant-Rented""),--((N(W249:W278)&gt;N(X249:X278))+N(REGEXMATCH(LOWER(C249:C278),""evict""))&gt;0))"),1.0)</f>
        <v>1</v>
      </c>
      <c r="H295" s="176">
        <f>IFERROR(__xludf.DUMMYFUNCTION("IFERROR(SUMPRODUCT(--(C249:C278&lt;&gt;""Vacant-Unrented""),--(C249:C278&lt;&gt;""Vacant-Rented""),--(NOT(REGEXMATCH(LOWER(C249:C278),""evict""))),--(T249:T278&lt;&gt;""""),--(T249:T278&gt;TODAY()+Dashboard!$L$3),--(N(W249:W278)&lt;=N(X249:X278)))/ROWS(T249:T278),0)
"),0.9)</f>
        <v>0.9</v>
      </c>
      <c r="I295" s="175">
        <v>30.0</v>
      </c>
    </row>
    <row r="296" ht="18.0" customHeight="1">
      <c r="A296" s="187"/>
      <c r="B296" s="187"/>
      <c r="C296" s="188">
        <f>IFERROR(__xludf.DUMMYFUNCTION("IFERROR(
  (
    4 * IF(ISNUMBER(SEARCH(""%"",C15)), VALUE(REGEXREPLACE(C15,""[^0-9.]"",""""))/100, VALUE(REGEXREPLACE(C15,""[^0-9.]"",""""))) +
    6 * IF(ISNUMBER(SEARCH(""%"",C23)), VALUE(REGEXREPLACE(C23,""[^0-9.]"",""""))/100, VALUE(REGEXREPLACE(C23,"&amp;"""[^0-9.]"",""""))) +
    5 * IF(ISNUMBER(SEARCH(""%"",C30)), VALUE(REGEXREPLACE(C30,""[^0-9.]"",""""))/100, VALUE(REGEXREPLACE(C30,""[^0-9.]"",""""))) +
    2 * IF(ISNUMBER(SEARCH(""%"",C34)), VALUE(REGEXREPLACE(C34,""[^0-9.]"",""""))/100, VALUE(REGEXREP"&amp;"LACE(C34,""[^0-9.]"",""""))) +
    2 * IF(ISNUMBER(SEARCH(""%"",C38)), VALUE(REGEXREPLACE(C38,""[^0-9.]"",""""))/100, VALUE(REGEXREPLACE(C38,""[^0-9.]"",""""))) +
   51 * IF(ISNUMBER(SEARCH(""%"",C76)), VALUE(REGEXREPLACE(C76,""[^0-9.]"",""""))/100, VALUE"&amp;"(REGEXREPLACE(C76,""[^0-9.]"",""""))) +
   51 * IF(ISNUMBER(SEARCH(""%"",C129)), VALUE(REGEXREPLACE(C129,""[^0-9.]"",""""))/100, VALUE(REGEXREPLACE(C129,""[^0-9.]"",""""))) +
   40 * IF(ISNUMBER(SEARCH(""%"",C171)), VALUE(REGEXREPLACE(C171,""[^0-9.]"","""&amp;"""))/100, VALUE(REGEXREPLACE(C171,""[^0-9.]"",""""))) +
   22 * IF(ISNUMBER(SEARCH(""%"",C195)), VALUE(REGEXREPLACE(C195,""[^0-9.]"",""""))/100, VALUE(REGEXREPLACE(C195,""[^0-9.]"",""""))) +
   50 * IF(ISNUMBER(SEARCH(""%"",C247)), VALUE(REGEXREPLACE(C247"&amp;",""[^0-9.]"",""""))/100, VALUE(REGEXREPLACE(C247,""[^0-9.]"",""""))) +
   30 * IF(ISNUMBER(SEARCH(""%"",C279)), VALUE(REGEXREPLACE(C279,""[^0-9.]"",""""))/100, VALUE(REGEXREPLACE(C279,""[^0-9.]"","""")))
  ) /
  (4+6+5+2+2+51+51+40+22+50+30)
, 0)"),0.8758783269961977)</f>
        <v>0.875878327</v>
      </c>
      <c r="D296" s="189">
        <f>IFERROR(__xludf.DUMMYFUNCTION("LET(
  e, VSTACK(E11:E14, E17:E22, E25:E29, E32:E33, E36:E37, E40:E75, E78:E128, E131:E170, E173:E194, E197:E246, E249:E278),
  f, VSTACK(F11:F14, F17:F22, F25:F29, F32:F33, F36:F37, F40:F75, F78:F128, F131:F170, F173:F194, F197:F246, F249:F278),
  ee, FI"&amp;"LTER(e, e&lt;&gt;0),
  ff, FILTER(f, e&lt;&gt;0),
  SUM(MAP(ee, ff, LAMBDA(x,y, MAX(0, x-y)))) / SUM(ee)
)
"),0.9432811437189623)</f>
        <v>0.9432811437</v>
      </c>
      <c r="E296" s="190">
        <f t="shared" ref="E296:G296" si="7">sum(E285:E295)</f>
        <v>11974.19</v>
      </c>
      <c r="F296" s="190">
        <f t="shared" si="7"/>
        <v>28567.9</v>
      </c>
      <c r="G296" s="191">
        <f t="shared" si="7"/>
        <v>5</v>
      </c>
      <c r="H296" s="192">
        <f>IFERROR(__xludf.DUMMYFUNCTION("IFERROR(
(
SUMPRODUCT(--(C11:C14&lt;&gt;""Vacant-Unrented""),--(C11:C14&lt;&gt;""Vacant-Rented""),--(NOT(REGEXMATCH(LOWER(C11:C14),""evict""))),--(T11:T14&lt;&gt;""""),--(T11:T14&gt;TODAY()+Dashboard!$L$3),--(N(W11:W14)&lt;=N(X11:X14)))+
SUMPRODUCT(--(C17:C22&lt;&gt;""Vacant-Unrented"&amp;"""),--(C17:C22&lt;&gt;""Vacant-Rented""),--(NOT(REGEXMATCH(LOWER(C17:C22),""evict""))),--(T17:T22&lt;&gt;""""),--(T17:T22&gt;TODAY()+Dashboard!$L$3),--(N(W17:W22)&lt;=N(X17:X22)))+
SUMPRODUCT(--(C25:C29&lt;&gt;""Vacant-Unrented""),--(C25:C29&lt;&gt;""Vacant-Rented""),--(NOT(REGEXMATCH"&amp;"(LOWER(C25:C29),""evict""))),--(T25:T29&lt;&gt;""""),--(T25:T29&gt;TODAY()+Dashboard!$L$3),--(N(W25:W29)&lt;=N(X25:X29)))+
SUMPRODUCT(--(C32:C33&lt;&gt;""Vacant-Unrented""),--(C32:C33&lt;&gt;""Vacant-Rented""),--(NOT(REGEXMATCH(LOWER(C32:C33),""evict""))),--(T32:T33&lt;&gt;""""),--(T3"&amp;"2:T33&gt;TODAY()+Dashboard!$L$3),--(N(W32:W33)&lt;=N(X32:X33)))+
SUMPRODUCT(--(C36:C37&lt;&gt;""Vacant-Unrented""),--(C36:C37&lt;&gt;""Vacant-Rented""),--(NOT(REGEXMATCH(LOWER(C36:C37),""evict""))),--(T36:T37&lt;&gt;""""),--(T36:T37&gt;TODAY()+Dashboard!$L$3),--(N(W36:W37)&lt;=N(X36:X"&amp;"37)))+
SUMPRODUCT(--(C40:C75&lt;&gt;""Vacant-Unrented""),--(C40:C75&lt;&gt;""Vacant-Rented""),--(NOT(REGEXMATCH(LOWER(C40:C75),""evict""))),--(T40:T75&lt;&gt;""""),--(T40:T75&gt;TODAY()+Dashboard!$L$3),--(N(W40:W75)&lt;=N(X40:X75)))+
SUMPRODUCT(--(C78:C128&lt;&gt;""Vacant-Unrented""),"&amp;"--(C78:C128&lt;&gt;""Vacant-Rented""),--(NOT(REGEXMATCH(LOWER(C78:C128),""evict""))),--(T78:T128&lt;&gt;""""),--(T78:T128&gt;TODAY()+Dashboard!$L$3),--(N(W78:W128)&lt;=N(X78:X128)))+
SUMPRODUCT(--(C131:C170&lt;&gt;""Vacant-Unrented""),--(C131:C170&lt;&gt;""Vacant-Rented""),--(NOT(REGE"&amp;"XMATCH(LOWER(C131:C170),""evict""))),--(T131:T170&lt;&gt;""""),--(T131:T170&gt;TODAY()+Dashboard!$L$3),--(N(W131:W170)&lt;=N(X131:X170)))+
SUMPRODUCT(--(C173:C194&lt;&gt;""Vacant-Unrented""),--(C173:C194&lt;&gt;""Vacant-Rented""),--(NOT(REGEXMATCH(LOWER(C173:C194),""evict""))),-"&amp;"-(T173:T194&lt;&gt;""""),--(T173:T194&gt;TODAY()+Dashboard!$L$3),--(N(W173:W194)&lt;=N(X173:X194)))+
SUMPRODUCT(--(C197:C246&lt;&gt;""Vacant-Unrented""),--(C197:C246&lt;&gt;""Vacant-Rented""),--(NOT(REGEXMATCH(LOWER(C197:C246),""evict""))),--(T197:T246&lt;&gt;""""),--(T197:T246&gt;TODAY("&amp;")+Dashboard!$L$3),--(N(W197:W246)&lt;=N(X197:X246)))+
SUMPRODUCT(--(C249:C278&lt;&gt;""Vacant-Unrented""),--(C249:C278&lt;&gt;""Vacant-Rented""),--(NOT(REGEXMATCH(LOWER(C249:C278),""evict""))),--(T249:T278&lt;&gt;""""),--(T249:T278&gt;TODAY()+Dashboard!$L$3),--(N(W249:W278)&lt;=N(X"&amp;"249:X278)))
)
/
(
SUMPRODUCT(--(C11:C14&lt;&gt;""Vacant-Unrented""),--(C11:C14&lt;&gt;""Vacant-Rented""))+
SUMPRODUCT(--(C17:C22&lt;&gt;""Vacant-Unrented""),--(C17:C22&lt;&gt;""Vacant-Rented""))+
SUMPRODUCT(--(C25:C29&lt;&gt;""Vacant-Unrented""),--(C25:C29&lt;&gt;""Vacant-Rented""))+
SUMPRO"&amp;"DUCT(--(C32:C33&lt;&gt;""Vacant-Unrented""),--(C32:C33&lt;&gt;""Vacant-Rented""))+
SUMPRODUCT(--(C36:C37&lt;&gt;""Vacant-Unrented""),--(C36:C37&lt;&gt;""Vacant-Rented""))+
SUMPRODUCT(--(C40:C75&lt;&gt;""Vacant-Unrented""),--(C40:C75&lt;&gt;""Vacant-Rented""))+
SUMPRODUCT(--(C78:C128&lt;&gt;""Vaca"&amp;"nt-Unrented""),--(C78:C128&lt;&gt;""Vacant-Rented""))+
SUMPRODUCT(--(C131:C170&lt;&gt;""Vacant-Unrented""),--(C131:C170&lt;&gt;""Vacant-Rented""))+
SUMPRODUCT(--(C173:C194&lt;&gt;""Vacant-Unrented""),--(C173:C194&lt;&gt;""Vacant-Rented""))+
SUMPRODUCT(--(C197:C246&lt;&gt;""Vacant-Unrented"""&amp;"),--(C197:C246&lt;&gt;""Vacant-Rented""))+
SUMPRODUCT(--(C249:C278&lt;&gt;""Vacant-Unrented""),--(C249:C278&lt;&gt;""Vacant-Rented""))
),
0)
"),0.8064516129032258)</f>
        <v>0.8064516129</v>
      </c>
      <c r="I296" s="193"/>
    </row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9">
    <mergeCell ref="A1:T1"/>
    <mergeCell ref="A2:T2"/>
    <mergeCell ref="A3:T3"/>
    <mergeCell ref="A4:T4"/>
    <mergeCell ref="A5:T5"/>
    <mergeCell ref="A6:T6"/>
    <mergeCell ref="A7:T7"/>
    <mergeCell ref="A77:T77"/>
    <mergeCell ref="A130:T130"/>
    <mergeCell ref="A172:T172"/>
    <mergeCell ref="A196:T196"/>
    <mergeCell ref="A248:T248"/>
    <mergeCell ref="A8:T8"/>
    <mergeCell ref="A10:T10"/>
    <mergeCell ref="A16:T16"/>
    <mergeCell ref="A24:T24"/>
    <mergeCell ref="A31:T31"/>
    <mergeCell ref="A35:T35"/>
    <mergeCell ref="A39:T39"/>
  </mergeCells>
  <dataValidations>
    <dataValidation type="list" allowBlank="1" showErrorMessage="1" sqref="A282:A295">
      <formula1>"Sarah,Karen,Sam"</formula1>
    </dataValidation>
  </dataValidations>
  <printOptions/>
  <pageMargins bottom="1.0" footer="0.0" header="0.0" left="0.75" right="0.75" top="1.0"/>
  <pageSetup orientation="landscape"/>
  <drawing r:id="rId1"/>
</worksheet>
</file>